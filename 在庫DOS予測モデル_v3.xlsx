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入力データ" sheetId="1" state="visible" r:id="rId1"/>
    <sheet name="②予測計算" sheetId="2" state="visible" r:id="rId2"/>
    <sheet name="③サマ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888888"/>
      <sz val="9"/>
    </font>
    <font>
      <b val="1"/>
    </font>
    <font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3" fontId="0" fillId="2" borderId="1" pivotButton="0" quotePrefix="0" xfId="0"/>
    <xf numFmtId="0" fontId="3" fillId="0" borderId="0" applyAlignment="1" pivotButton="0" quotePrefix="0" xfId="0">
      <alignment horizontal="center"/>
    </xf>
    <xf numFmtId="3" fontId="0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1" fontId="0" fillId="2" borderId="1" pivotButton="0" quotePrefix="0" xfId="0"/>
    <xf numFmtId="0" fontId="4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在庫・DOS予測モデル v3 ― 入力データ</t>
        </is>
      </c>
    </row>
    <row r="2">
      <c r="A2" s="2" t="inlineStr">
        <is>
          <t>黄色=手入力  白色=自動計算/既知データ</t>
        </is>
      </c>
    </row>
    <row r="4">
      <c r="A4" s="3" t="inlineStr">
        <is>
          <t>【基準値】</t>
        </is>
      </c>
    </row>
    <row r="5">
      <c r="A5" s="4" t="inlineStr">
        <is>
          <t>Luna 2月末 実績在庫金額（円）</t>
        </is>
      </c>
      <c r="B5" s="5" t="n"/>
    </row>
    <row r="6">
      <c r="A6" s="4" t="inlineStr">
        <is>
          <t>ToC換算率（消費税）</t>
        </is>
      </c>
      <c r="B6" s="4" t="n">
        <v>1.1</v>
      </c>
    </row>
    <row r="7">
      <c r="A7" s="4" t="inlineStr">
        <is>
          <t>ToB換算率</t>
        </is>
      </c>
      <c r="B7" s="4" t="n">
        <v>0.72</v>
      </c>
    </row>
    <row r="8">
      <c r="A8" s="4" t="inlineStr">
        <is>
          <t>店舗進货 当月着荷率</t>
        </is>
      </c>
      <c r="B8" s="4" t="n">
        <v>0.3</v>
      </c>
    </row>
    <row r="10">
      <c r="A10" s="3" t="inlineStr">
        <is>
          <t>月</t>
        </is>
      </c>
      <c r="B10" s="6" t="inlineStr">
        <is>
          <t>1月</t>
        </is>
      </c>
      <c r="C10" s="6" t="inlineStr">
        <is>
          <t>2月</t>
        </is>
      </c>
      <c r="D10" s="6" t="inlineStr">
        <is>
          <t>3月</t>
        </is>
      </c>
      <c r="E10" s="6" t="inlineStr">
        <is>
          <t>4月</t>
        </is>
      </c>
      <c r="F10" s="6" t="inlineStr">
        <is>
          <t>5月</t>
        </is>
      </c>
      <c r="G10" s="6" t="inlineStr">
        <is>
          <t>6月</t>
        </is>
      </c>
      <c r="H10" s="6" t="inlineStr">
        <is>
          <t>7月</t>
        </is>
      </c>
      <c r="I10" s="6" t="inlineStr">
        <is>
          <t>8月</t>
        </is>
      </c>
      <c r="J10" s="6" t="inlineStr">
        <is>
          <t>9月</t>
        </is>
      </c>
      <c r="K10" s="6" t="inlineStr">
        <is>
          <t>10月</t>
        </is>
      </c>
      <c r="L10" s="6" t="inlineStr">
        <is>
          <t>11月</t>
        </is>
      </c>
      <c r="M10" s="6" t="inlineStr">
        <is>
          <t>12月</t>
        </is>
      </c>
    </row>
    <row r="12">
      <c r="A12" s="3" t="inlineStr">
        <is>
          <t>【販売予算（Sell Out）】</t>
        </is>
      </c>
    </row>
    <row r="13">
      <c r="A13" s="4" t="inlineStr">
        <is>
          <t>店舗（既存）</t>
        </is>
      </c>
      <c r="B13" s="7" t="n">
        <v>1699940255</v>
      </c>
      <c r="C13" s="7" t="n">
        <v>1313219737</v>
      </c>
      <c r="D13" s="7" t="n">
        <v>1470783378</v>
      </c>
      <c r="E13" s="7" t="n">
        <v>1801379308</v>
      </c>
      <c r="F13" s="7" t="n">
        <v>1874294789</v>
      </c>
      <c r="G13" s="7" t="n">
        <v>1911750692</v>
      </c>
      <c r="H13" s="7" t="n">
        <v>1925967529</v>
      </c>
      <c r="I13" s="7" t="n">
        <v>1893433375</v>
      </c>
      <c r="J13" s="7" t="n">
        <v>1711900823</v>
      </c>
      <c r="K13" s="7" t="n">
        <v>1663896416</v>
      </c>
      <c r="L13" s="7" t="n">
        <v>1523414395</v>
      </c>
      <c r="M13" s="7" t="n">
        <v>1349930172</v>
      </c>
    </row>
    <row r="14">
      <c r="A14" s="4" t="inlineStr">
        <is>
          <t>店舗（新規Open）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4" t="inlineStr">
        <is>
          <t>ROBO</t>
        </is>
      </c>
      <c r="B15" s="7" t="n">
        <v>73558644</v>
      </c>
      <c r="C15" s="7" t="n">
        <v>56824740</v>
      </c>
      <c r="D15" s="7" t="n">
        <v>63642725</v>
      </c>
      <c r="E15" s="7" t="n">
        <v>77948044</v>
      </c>
      <c r="F15" s="7" t="n">
        <v>81103193</v>
      </c>
      <c r="G15" s="7" t="n">
        <v>82723959</v>
      </c>
      <c r="H15" s="7" t="n">
        <v>83339140</v>
      </c>
      <c r="I15" s="7" t="n">
        <v>81931345</v>
      </c>
      <c r="J15" s="7" t="n">
        <v>74076193</v>
      </c>
      <c r="K15" s="7" t="n">
        <v>71998979</v>
      </c>
      <c r="L15" s="7" t="n">
        <v>65920138</v>
      </c>
      <c r="M15" s="7" t="n">
        <v>58413248</v>
      </c>
    </row>
    <row r="16">
      <c r="A16" s="4" t="inlineStr">
        <is>
          <t>B2B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8" t="inlineStr">
        <is>
          <t>販売合計（ToC）</t>
        </is>
      </c>
      <c r="B17" s="9">
        <f>B13+B14+B15</f>
        <v/>
      </c>
      <c r="C17" s="9">
        <f>C13+C14+C15</f>
        <v/>
      </c>
      <c r="D17" s="9">
        <f>D13+D14+D15</f>
        <v/>
      </c>
      <c r="E17" s="9">
        <f>E13+E14+E15</f>
        <v/>
      </c>
      <c r="F17" s="9">
        <f>F13+F14+F15</f>
        <v/>
      </c>
      <c r="G17" s="9">
        <f>G13+G14+G15</f>
        <v/>
      </c>
      <c r="H17" s="9">
        <f>H13+H14+H15</f>
        <v/>
      </c>
      <c r="I17" s="9">
        <f>I13+I14+I15</f>
        <v/>
      </c>
      <c r="J17" s="9">
        <f>J13+J14+J15</f>
        <v/>
      </c>
      <c r="K17" s="9">
        <f>K13+K14+K15</f>
        <v/>
      </c>
      <c r="L17" s="9">
        <f>L13+L14+L15</f>
        <v/>
      </c>
      <c r="M17" s="9">
        <f>M13+M14+M15</f>
        <v/>
      </c>
    </row>
    <row r="18">
      <c r="A18" s="8" t="inlineStr">
        <is>
          <t>販売合計（ToB = B2B）</t>
        </is>
      </c>
      <c r="B18" s="9">
        <f>B16</f>
        <v/>
      </c>
      <c r="C18" s="9">
        <f>C16</f>
        <v/>
      </c>
      <c r="D18" s="9">
        <f>D16</f>
        <v/>
      </c>
      <c r="E18" s="9">
        <f>E16</f>
        <v/>
      </c>
      <c r="F18" s="9">
        <f>F16</f>
        <v/>
      </c>
      <c r="G18" s="9">
        <f>G16</f>
        <v/>
      </c>
      <c r="H18" s="9">
        <f>H16</f>
        <v/>
      </c>
      <c r="I18" s="9">
        <f>I16</f>
        <v/>
      </c>
      <c r="J18" s="9">
        <f>J16</f>
        <v/>
      </c>
      <c r="K18" s="9">
        <f>K16</f>
        <v/>
      </c>
      <c r="L18" s="9">
        <f>L16</f>
        <v/>
      </c>
      <c r="M18" s="9">
        <f>M16</f>
        <v/>
      </c>
    </row>
    <row r="19">
      <c r="A19" s="8" t="inlineStr">
        <is>
          <t>販売合計（全体）</t>
        </is>
      </c>
      <c r="B19" s="9">
        <f>B17+B18</f>
        <v/>
      </c>
      <c r="C19" s="9">
        <f>C17+C18</f>
        <v/>
      </c>
      <c r="D19" s="9">
        <f>D17+D18</f>
        <v/>
      </c>
      <c r="E19" s="9">
        <f>E17+E18</f>
        <v/>
      </c>
      <c r="F19" s="9">
        <f>F17+F18</f>
        <v/>
      </c>
      <c r="G19" s="9">
        <f>G17+G18</f>
        <v/>
      </c>
      <c r="H19" s="9">
        <f>H17+H18</f>
        <v/>
      </c>
      <c r="I19" s="9">
        <f>I17+I18</f>
        <v/>
      </c>
      <c r="J19" s="9">
        <f>J17+J18</f>
        <v/>
      </c>
      <c r="K19" s="9">
        <f>K17+K18</f>
        <v/>
      </c>
      <c r="L19" s="9">
        <f>L17+L18</f>
        <v/>
      </c>
      <c r="M19" s="9">
        <f>M17+M18</f>
        <v/>
      </c>
    </row>
    <row r="21">
      <c r="A21" s="3" t="inlineStr">
        <is>
          <t>【進货計画・EC移管】</t>
        </is>
      </c>
    </row>
    <row r="22">
      <c r="A22" s="4" t="inlineStr">
        <is>
          <t>店舗 進货計画</t>
        </is>
      </c>
      <c r="B22" s="7" t="n">
        <v>2317652861</v>
      </c>
      <c r="C22" s="7" t="n">
        <v>850096243</v>
      </c>
      <c r="D22" s="7" t="n">
        <v>1315131747</v>
      </c>
      <c r="E22" s="7" t="n">
        <v>1472696605</v>
      </c>
      <c r="F22" s="7" t="n">
        <v>1460578854</v>
      </c>
      <c r="G22" s="7" t="n">
        <v>2024355831</v>
      </c>
      <c r="H22" s="7" t="n">
        <v>1835776567</v>
      </c>
      <c r="I22" s="7" t="n">
        <v>1529507202</v>
      </c>
      <c r="J22" s="7" t="n">
        <v>1502459212</v>
      </c>
      <c r="K22" s="7" t="n">
        <v>1230694625</v>
      </c>
      <c r="L22" s="7" t="n">
        <v>806516283</v>
      </c>
      <c r="M22" s="7" t="n">
        <v>773997069</v>
      </c>
    </row>
    <row r="23">
      <c r="A23" s="4" t="inlineStr">
        <is>
          <t>EC移管金額（Luna着荷）</t>
        </is>
      </c>
      <c r="B23" s="5" t="n">
        <v>147846918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8" t="inlineStr">
        <is>
          <t>入庫合計</t>
        </is>
      </c>
      <c r="B24" s="9">
        <f>B22*$B$8+B23</f>
        <v/>
      </c>
      <c r="C24" s="9">
        <f>C22*$B$8+B22*(1-$B$8)+C23</f>
        <v/>
      </c>
      <c r="D24" s="9">
        <f>D22*$B$8+C22*(1-$B$8)+D23</f>
        <v/>
      </c>
      <c r="E24" s="9">
        <f>E22*$B$8+D22*(1-$B$8)+E23</f>
        <v/>
      </c>
      <c r="F24" s="9">
        <f>F22*$B$8+E22*(1-$B$8)+F23</f>
        <v/>
      </c>
      <c r="G24" s="9">
        <f>G22*$B$8+F22*(1-$B$8)+G23</f>
        <v/>
      </c>
      <c r="H24" s="9">
        <f>H22*$B$8+G22*(1-$B$8)+H23</f>
        <v/>
      </c>
      <c r="I24" s="9">
        <f>I22*$B$8+H22*(1-$B$8)+I23</f>
        <v/>
      </c>
      <c r="J24" s="9">
        <f>J22*$B$8+I22*(1-$B$8)+J23</f>
        <v/>
      </c>
      <c r="K24" s="9">
        <f>K22*$B$8+J22*(1-$B$8)+K23</f>
        <v/>
      </c>
      <c r="L24" s="9">
        <f>L22*$B$8+K22*(1-$B$8)+L23</f>
        <v/>
      </c>
      <c r="M24" s="9">
        <f>M22*$B$8+L22*(1-$B$8)+M23</f>
        <v/>
      </c>
    </row>
    <row r="26">
      <c r="A26" s="3" t="inlineStr">
        <is>
          <t>【新規開店計画】</t>
        </is>
      </c>
    </row>
    <row r="27">
      <c r="A27" s="4" t="inlineStr">
        <is>
          <t>新規開店数（店）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  <row r="28">
      <c r="A28" s="4" t="inlineStr">
        <is>
          <t>累計店舗数（既存+新規）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在庫・DOS 月次予測計算</t>
        </is>
      </c>
    </row>
    <row r="3">
      <c r="B3" s="6" t="inlineStr">
        <is>
          <t>1月</t>
        </is>
      </c>
      <c r="C3" s="6" t="inlineStr">
        <is>
          <t>2月</t>
        </is>
      </c>
      <c r="D3" s="6" t="inlineStr">
        <is>
          <t>3月</t>
        </is>
      </c>
      <c r="E3" s="6" t="inlineStr">
        <is>
          <t>4月</t>
        </is>
      </c>
      <c r="F3" s="6" t="inlineStr">
        <is>
          <t>5月</t>
        </is>
      </c>
      <c r="G3" s="6" t="inlineStr">
        <is>
          <t>6月</t>
        </is>
      </c>
      <c r="H3" s="6" t="inlineStr">
        <is>
          <t>7月</t>
        </is>
      </c>
      <c r="I3" s="6" t="inlineStr">
        <is>
          <t>8月</t>
        </is>
      </c>
      <c r="J3" s="6" t="inlineStr">
        <is>
          <t>9月</t>
        </is>
      </c>
      <c r="K3" s="6" t="inlineStr">
        <is>
          <t>10月</t>
        </is>
      </c>
      <c r="L3" s="6" t="inlineStr">
        <is>
          <t>11月</t>
        </is>
      </c>
      <c r="M3" s="6" t="inlineStr">
        <is>
          <t>12月</t>
        </is>
      </c>
    </row>
    <row r="5">
      <c r="A5" s="3" t="inlineStr">
        <is>
          <t>【在庫ロールフォワード】</t>
        </is>
      </c>
    </row>
    <row r="6">
      <c r="A6" s="4" t="inlineStr">
        <is>
          <t>月初在庫</t>
        </is>
      </c>
      <c r="B6" s="5" t="n">
        <v>0</v>
      </c>
      <c r="C6" s="7">
        <f>B9</f>
        <v/>
      </c>
      <c r="D6" s="7">
        <f>C9</f>
        <v/>
      </c>
      <c r="E6" s="7">
        <f>D9</f>
        <v/>
      </c>
      <c r="F6" s="7">
        <f>E9</f>
        <v/>
      </c>
      <c r="G6" s="7">
        <f>F9</f>
        <v/>
      </c>
      <c r="H6" s="7">
        <f>G9</f>
        <v/>
      </c>
      <c r="I6" s="7">
        <f>H9</f>
        <v/>
      </c>
      <c r="J6" s="7">
        <f>I9</f>
        <v/>
      </c>
      <c r="K6" s="7">
        <f>J9</f>
        <v/>
      </c>
      <c r="L6" s="7">
        <f>K9</f>
        <v/>
      </c>
      <c r="M6" s="7">
        <f>L9</f>
        <v/>
      </c>
    </row>
    <row r="7">
      <c r="A7" s="4" t="inlineStr">
        <is>
          <t>入庫合計</t>
        </is>
      </c>
      <c r="B7" s="7">
        <f>'①入力データ'!B24</f>
        <v/>
      </c>
      <c r="C7" s="7">
        <f>'①入力データ'!C24</f>
        <v/>
      </c>
      <c r="D7" s="7">
        <f>'①入力データ'!D24</f>
        <v/>
      </c>
      <c r="E7" s="7">
        <f>'①入力データ'!E24</f>
        <v/>
      </c>
      <c r="F7" s="7">
        <f>'①入力データ'!F24</f>
        <v/>
      </c>
      <c r="G7" s="7">
        <f>'①入力データ'!G24</f>
        <v/>
      </c>
      <c r="H7" s="7">
        <f>'①入力データ'!H24</f>
        <v/>
      </c>
      <c r="I7" s="7">
        <f>'①入力データ'!I24</f>
        <v/>
      </c>
      <c r="J7" s="7">
        <f>'①入力データ'!J24</f>
        <v/>
      </c>
      <c r="K7" s="7">
        <f>'①入力データ'!K24</f>
        <v/>
      </c>
      <c r="L7" s="7">
        <f>'①入力データ'!L24</f>
        <v/>
      </c>
      <c r="M7" s="7">
        <f>'①入力データ'!M24</f>
        <v/>
      </c>
    </row>
    <row r="8">
      <c r="A8" s="4" t="inlineStr">
        <is>
          <t>Sell Out消費（原価換算）</t>
        </is>
      </c>
      <c r="B8" s="7">
        <f>'①入力データ'!B17/$B$6+'①入力データ'!B18/$B$7</f>
        <v/>
      </c>
      <c r="C8" s="7">
        <f>'①入力データ'!C17/$B$6+'①入力データ'!C18/$B$7</f>
        <v/>
      </c>
      <c r="D8" s="7">
        <f>'①入力データ'!D17/$B$6+'①入力データ'!D18/$B$7</f>
        <v/>
      </c>
      <c r="E8" s="7">
        <f>'①入力データ'!E17/$B$6+'①入力データ'!E18/$B$7</f>
        <v/>
      </c>
      <c r="F8" s="7">
        <f>'①入力データ'!F17/$B$6+'①入力データ'!F18/$B$7</f>
        <v/>
      </c>
      <c r="G8" s="7">
        <f>'①入力データ'!G17/$B$6+'①入力データ'!G18/$B$7</f>
        <v/>
      </c>
      <c r="H8" s="7">
        <f>'①入力データ'!H17/$B$6+'①入力データ'!H18/$B$7</f>
        <v/>
      </c>
      <c r="I8" s="7">
        <f>'①入力データ'!I17/$B$6+'①入力データ'!I18/$B$7</f>
        <v/>
      </c>
      <c r="J8" s="7">
        <f>'①入力データ'!J17/$B$6+'①入力データ'!J18/$B$7</f>
        <v/>
      </c>
      <c r="K8" s="7">
        <f>'①入力データ'!K17/$B$6+'①入力データ'!K18/$B$7</f>
        <v/>
      </c>
      <c r="L8" s="7">
        <f>'①入力データ'!L17/$B$6+'①入力データ'!L18/$B$7</f>
        <v/>
      </c>
      <c r="M8" s="7">
        <f>'①入力データ'!M17/$B$6+'①入力データ'!M18/$B$7</f>
        <v/>
      </c>
    </row>
    <row r="9">
      <c r="A9" s="8" t="inlineStr">
        <is>
          <t>月末在庫</t>
        </is>
      </c>
      <c r="B9" s="5" t="n"/>
      <c r="C9" s="7">
        <f>'①入力データ'!B5</f>
        <v/>
      </c>
      <c r="D9" s="9">
        <f>D6+D7-D8</f>
        <v/>
      </c>
      <c r="E9" s="9">
        <f>E6+E7-E8</f>
        <v/>
      </c>
      <c r="F9" s="9">
        <f>F6+F7-F8</f>
        <v/>
      </c>
      <c r="G9" s="9">
        <f>G6+G7-G8</f>
        <v/>
      </c>
      <c r="H9" s="9">
        <f>H6+H7-H8</f>
        <v/>
      </c>
      <c r="I9" s="9">
        <f>I6+I7-I8</f>
        <v/>
      </c>
      <c r="J9" s="9">
        <f>J6+J7-J8</f>
        <v/>
      </c>
      <c r="K9" s="9">
        <f>K6+K7-K8</f>
        <v/>
      </c>
      <c r="L9" s="9">
        <f>L6+L7-L8</f>
        <v/>
      </c>
      <c r="M9" s="9">
        <f>M6+M7-M8</f>
        <v/>
      </c>
    </row>
    <row r="11">
      <c r="A11" s="3" t="inlineStr">
        <is>
          <t>【DOS計算（月数単位）】</t>
        </is>
      </c>
    </row>
    <row r="12">
      <c r="A12" s="4" t="inlineStr">
        <is>
          <t>月次消費量（原価換算）</t>
        </is>
      </c>
      <c r="B12" s="7">
        <f>B8</f>
        <v/>
      </c>
      <c r="C12" s="7">
        <f>C8</f>
        <v/>
      </c>
      <c r="D12" s="7">
        <f>D8</f>
        <v/>
      </c>
      <c r="E12" s="7">
        <f>E8</f>
        <v/>
      </c>
      <c r="F12" s="7">
        <f>F8</f>
        <v/>
      </c>
      <c r="G12" s="7">
        <f>G8</f>
        <v/>
      </c>
      <c r="H12" s="7">
        <f>H8</f>
        <v/>
      </c>
      <c r="I12" s="7">
        <f>I8</f>
        <v/>
      </c>
      <c r="J12" s="7">
        <f>J8</f>
        <v/>
      </c>
      <c r="K12" s="7">
        <f>K8</f>
        <v/>
      </c>
      <c r="L12" s="7">
        <f>L8</f>
        <v/>
      </c>
      <c r="M12" s="7">
        <f>M8</f>
        <v/>
      </c>
    </row>
    <row r="13">
      <c r="A13" s="11" t="inlineStr">
        <is>
          <t>2027年1月消費量（参考）</t>
        </is>
      </c>
      <c r="B13" s="7">
        <f>B12</f>
        <v/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8" t="inlineStr">
        <is>
          <t>DOS（月数）</t>
        </is>
      </c>
      <c r="B14" s="12">
        <f>IF(B9&lt;C12,B9/C12,IF(B9&lt;C12+D12,1+(B9-C12)/D12,2+(B9-C12-D12)/E12))</f>
        <v/>
      </c>
      <c r="C14" s="12">
        <f>IF(C9&lt;D12,C9/D12,IF(C9&lt;D12+E12,1+(C9-D12)/E12,2+(C9-D12-E12)/F12))</f>
        <v/>
      </c>
      <c r="D14" s="12">
        <f>IF(D9&lt;E12,D9/E12,IF(D9&lt;E12+F12,1+(D9-E12)/F12,2+(D9-E12-F12)/G12))</f>
        <v/>
      </c>
      <c r="E14" s="12">
        <f>IF(E9&lt;F12,E9/F12,IF(E9&lt;F12+G12,1+(E9-F12)/G12,2+(E9-F12-G12)/H12))</f>
        <v/>
      </c>
      <c r="F14" s="12">
        <f>IF(F9&lt;G12,F9/G12,IF(F9&lt;G12+H12,1+(F9-G12)/H12,2+(F9-G12-H12)/I12))</f>
        <v/>
      </c>
      <c r="G14" s="12">
        <f>IF(G9&lt;H12,G9/H12,IF(G9&lt;H12+I12,1+(G9-H12)/I12,2+(G9-H12-I12)/J12))</f>
        <v/>
      </c>
      <c r="H14" s="12">
        <f>IF(H9&lt;I12,H9/I12,IF(H9&lt;I12+J12,1+(H9-I12)/J12,2+(H9-I12-J12)/K12))</f>
        <v/>
      </c>
      <c r="I14" s="12">
        <f>IF(I9&lt;J12,I9/J12,IF(I9&lt;J12+K12,1+(I9-J12)/K12,2+(I9-J12-K12)/L12))</f>
        <v/>
      </c>
      <c r="J14" s="12">
        <f>IF(J9&lt;K12,J9/K12,IF(J9&lt;K12+L12,1+(J9-K12)/L12,2+(J9-K12-L12)/M12))</f>
        <v/>
      </c>
      <c r="K14" s="12">
        <f>IF((L12+M12)/2&gt;0,K9/(L12+M12)/2,0)</f>
        <v/>
      </c>
      <c r="L14" s="12">
        <f>IF(M12&gt;0,L9/M12,0)</f>
        <v/>
      </c>
      <c r="M14" s="12">
        <f>IF(B13&gt;0,M9/B13,0)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サマリダッシュボード ― 月次在庫・DOS推移</t>
        </is>
      </c>
    </row>
    <row r="3">
      <c r="B3" s="6" t="inlineStr">
        <is>
          <t>1月</t>
        </is>
      </c>
      <c r="C3" s="6" t="inlineStr">
        <is>
          <t>2月</t>
        </is>
      </c>
      <c r="D3" s="6" t="inlineStr">
        <is>
          <t>3月</t>
        </is>
      </c>
      <c r="E3" s="6" t="inlineStr">
        <is>
          <t>4月</t>
        </is>
      </c>
      <c r="F3" s="6" t="inlineStr">
        <is>
          <t>5月</t>
        </is>
      </c>
      <c r="G3" s="6" t="inlineStr">
        <is>
          <t>6月</t>
        </is>
      </c>
      <c r="H3" s="6" t="inlineStr">
        <is>
          <t>7月</t>
        </is>
      </c>
      <c r="I3" s="6" t="inlineStr">
        <is>
          <t>8月</t>
        </is>
      </c>
      <c r="J3" s="6" t="inlineStr">
        <is>
          <t>9月</t>
        </is>
      </c>
      <c r="K3" s="6" t="inlineStr">
        <is>
          <t>10月</t>
        </is>
      </c>
      <c r="L3" s="6" t="inlineStr">
        <is>
          <t>11月</t>
        </is>
      </c>
      <c r="M3" s="6" t="inlineStr">
        <is>
          <t>12月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inlineStr">
        <is>
          <t>Sell Out 販売合計</t>
        </is>
      </c>
      <c r="B5" s="7">
        <f>'①入力データ'!B19</f>
        <v/>
      </c>
      <c r="C5" s="7">
        <f>'①入力データ'!C19</f>
        <v/>
      </c>
      <c r="D5" s="7">
        <f>'①入力データ'!D19</f>
        <v/>
      </c>
      <c r="E5" s="7">
        <f>'①入力データ'!E19</f>
        <v/>
      </c>
      <c r="F5" s="7">
        <f>'①入力データ'!F19</f>
        <v/>
      </c>
      <c r="G5" s="7">
        <f>'①入力データ'!G19</f>
        <v/>
      </c>
      <c r="H5" s="7">
        <f>'①入力データ'!H19</f>
        <v/>
      </c>
      <c r="I5" s="7">
        <f>'①入力データ'!I19</f>
        <v/>
      </c>
      <c r="J5" s="7">
        <f>'①入力データ'!J19</f>
        <v/>
      </c>
      <c r="K5" s="7">
        <f>'①入力データ'!K19</f>
        <v/>
      </c>
      <c r="L5" s="7">
        <f>'①入力データ'!L19</f>
        <v/>
      </c>
      <c r="M5" s="7">
        <f>'①入力データ'!M19</f>
        <v/>
      </c>
    </row>
    <row r="6">
      <c r="A6" s="4" t="inlineStr">
        <is>
          <t xml:space="preserve">  うちToC</t>
        </is>
      </c>
      <c r="B6" s="7">
        <f>'①入力データ'!B17</f>
        <v/>
      </c>
      <c r="C6" s="7">
        <f>'①入力データ'!C17</f>
        <v/>
      </c>
      <c r="D6" s="7">
        <f>'①入力データ'!D17</f>
        <v/>
      </c>
      <c r="E6" s="7">
        <f>'①入力データ'!E17</f>
        <v/>
      </c>
      <c r="F6" s="7">
        <f>'①入力データ'!F17</f>
        <v/>
      </c>
      <c r="G6" s="7">
        <f>'①入力データ'!G17</f>
        <v/>
      </c>
      <c r="H6" s="7">
        <f>'①入力データ'!H17</f>
        <v/>
      </c>
      <c r="I6" s="7">
        <f>'①入力データ'!I17</f>
        <v/>
      </c>
      <c r="J6" s="7">
        <f>'①入力データ'!J17</f>
        <v/>
      </c>
      <c r="K6" s="7">
        <f>'①入力データ'!K17</f>
        <v/>
      </c>
      <c r="L6" s="7">
        <f>'①入力データ'!L17</f>
        <v/>
      </c>
      <c r="M6" s="7">
        <f>'①入力データ'!M17</f>
        <v/>
      </c>
    </row>
    <row r="7">
      <c r="A7" s="4" t="inlineStr">
        <is>
          <t xml:space="preserve">  うちToB</t>
        </is>
      </c>
      <c r="B7" s="7">
        <f>'①入力データ'!B18</f>
        <v/>
      </c>
      <c r="C7" s="7">
        <f>'①入力データ'!C18</f>
        <v/>
      </c>
      <c r="D7" s="7">
        <f>'①入力データ'!D18</f>
        <v/>
      </c>
      <c r="E7" s="7">
        <f>'①入力データ'!E18</f>
        <v/>
      </c>
      <c r="F7" s="7">
        <f>'①入力データ'!F18</f>
        <v/>
      </c>
      <c r="G7" s="7">
        <f>'①入力データ'!G18</f>
        <v/>
      </c>
      <c r="H7" s="7">
        <f>'①入力データ'!H18</f>
        <v/>
      </c>
      <c r="I7" s="7">
        <f>'①入力データ'!I18</f>
        <v/>
      </c>
      <c r="J7" s="7">
        <f>'①入力データ'!J18</f>
        <v/>
      </c>
      <c r="K7" s="7">
        <f>'①入力データ'!K18</f>
        <v/>
      </c>
      <c r="L7" s="7">
        <f>'①入力データ'!L18</f>
        <v/>
      </c>
      <c r="M7" s="7">
        <f>'①入力データ'!M18</f>
        <v/>
      </c>
    </row>
    <row r="8">
      <c r="A8" s="4" t="inlineStr">
        <is>
          <t>入庫合計</t>
        </is>
      </c>
      <c r="B8" s="7">
        <f>'①入力データ'!B24</f>
        <v/>
      </c>
      <c r="C8" s="7">
        <f>'①入力データ'!C24</f>
        <v/>
      </c>
      <c r="D8" s="7">
        <f>'①入力データ'!D24</f>
        <v/>
      </c>
      <c r="E8" s="7">
        <f>'①入力データ'!E24</f>
        <v/>
      </c>
      <c r="F8" s="7">
        <f>'①入力データ'!F24</f>
        <v/>
      </c>
      <c r="G8" s="7">
        <f>'①入力データ'!G24</f>
        <v/>
      </c>
      <c r="H8" s="7">
        <f>'①入力データ'!H24</f>
        <v/>
      </c>
      <c r="I8" s="7">
        <f>'①入力データ'!I24</f>
        <v/>
      </c>
      <c r="J8" s="7">
        <f>'①入力データ'!J24</f>
        <v/>
      </c>
      <c r="K8" s="7">
        <f>'①入力データ'!K24</f>
        <v/>
      </c>
      <c r="L8" s="7">
        <f>'①入力データ'!L24</f>
        <v/>
      </c>
      <c r="M8" s="7">
        <f>'①入力データ'!M24</f>
        <v/>
      </c>
    </row>
    <row r="9">
      <c r="A9" s="4" t="inlineStr">
        <is>
          <t xml:space="preserve">  店舗進货</t>
        </is>
      </c>
      <c r="B9" s="7">
        <f>'①入力データ'!B22</f>
        <v/>
      </c>
      <c r="C9" s="7">
        <f>'①入力データ'!C22</f>
        <v/>
      </c>
      <c r="D9" s="7">
        <f>'①入力データ'!D22</f>
        <v/>
      </c>
      <c r="E9" s="7">
        <f>'①入力データ'!E22</f>
        <v/>
      </c>
      <c r="F9" s="7">
        <f>'①入力データ'!F22</f>
        <v/>
      </c>
      <c r="G9" s="7">
        <f>'①入力データ'!G22</f>
        <v/>
      </c>
      <c r="H9" s="7">
        <f>'①入力データ'!H22</f>
        <v/>
      </c>
      <c r="I9" s="7">
        <f>'①入力データ'!I22</f>
        <v/>
      </c>
      <c r="J9" s="7">
        <f>'①入力データ'!J22</f>
        <v/>
      </c>
      <c r="K9" s="7">
        <f>'①入力データ'!K22</f>
        <v/>
      </c>
      <c r="L9" s="7">
        <f>'①入力データ'!L22</f>
        <v/>
      </c>
      <c r="M9" s="7">
        <f>'①入力データ'!M22</f>
        <v/>
      </c>
    </row>
    <row r="10">
      <c r="A10" s="4" t="inlineStr">
        <is>
          <t xml:space="preserve">  EC移管</t>
        </is>
      </c>
      <c r="B10" s="7">
        <f>'①入力データ'!B23</f>
        <v/>
      </c>
      <c r="C10" s="7">
        <f>'①入力データ'!C23</f>
        <v/>
      </c>
      <c r="D10" s="7">
        <f>'①入力データ'!D23</f>
        <v/>
      </c>
      <c r="E10" s="7">
        <f>'①入力データ'!E23</f>
        <v/>
      </c>
      <c r="F10" s="7">
        <f>'①入力データ'!F23</f>
        <v/>
      </c>
      <c r="G10" s="7">
        <f>'①入力データ'!G23</f>
        <v/>
      </c>
      <c r="H10" s="7">
        <f>'①入力データ'!H23</f>
        <v/>
      </c>
      <c r="I10" s="7">
        <f>'①入力データ'!I23</f>
        <v/>
      </c>
      <c r="J10" s="7">
        <f>'①入力データ'!J23</f>
        <v/>
      </c>
      <c r="K10" s="7">
        <f>'①入力データ'!K23</f>
        <v/>
      </c>
      <c r="L10" s="7">
        <f>'①入力データ'!L23</f>
        <v/>
      </c>
      <c r="M10" s="7">
        <f>'①入力データ'!M23</f>
        <v/>
      </c>
    </row>
    <row r="11">
      <c r="A11" s="4" t="inlineStr">
        <is>
          <t>消費量（原価換算）</t>
        </is>
      </c>
      <c r="B11" s="7">
        <f>'②予測計算'!B8</f>
        <v/>
      </c>
      <c r="C11" s="7">
        <f>'②予測計算'!C8</f>
        <v/>
      </c>
      <c r="D11" s="7">
        <f>'②予測計算'!D8</f>
        <v/>
      </c>
      <c r="E11" s="7">
        <f>'②予測計算'!E8</f>
        <v/>
      </c>
      <c r="F11" s="7">
        <f>'②予測計算'!F8</f>
        <v/>
      </c>
      <c r="G11" s="7">
        <f>'②予測計算'!G8</f>
        <v/>
      </c>
      <c r="H11" s="7">
        <f>'②予測計算'!H8</f>
        <v/>
      </c>
      <c r="I11" s="7">
        <f>'②予測計算'!I8</f>
        <v/>
      </c>
      <c r="J11" s="7">
        <f>'②予測計算'!J8</f>
        <v/>
      </c>
      <c r="K11" s="7">
        <f>'②予測計算'!K8</f>
        <v/>
      </c>
      <c r="L11" s="7">
        <f>'②予測計算'!L8</f>
        <v/>
      </c>
      <c r="M11" s="7">
        <f>'②予測計算'!M8</f>
        <v/>
      </c>
    </row>
    <row r="12">
      <c r="A12" s="8" t="inlineStr">
        <is>
          <t>月末在庫金額</t>
        </is>
      </c>
      <c r="B12" s="9">
        <f>'②予測計算'!B9</f>
        <v/>
      </c>
      <c r="C12" s="9">
        <f>'②予測計算'!C9</f>
        <v/>
      </c>
      <c r="D12" s="9">
        <f>'②予測計算'!D9</f>
        <v/>
      </c>
      <c r="E12" s="9">
        <f>'②予測計算'!E9</f>
        <v/>
      </c>
      <c r="F12" s="9">
        <f>'②予測計算'!F9</f>
        <v/>
      </c>
      <c r="G12" s="9">
        <f>'②予測計算'!G9</f>
        <v/>
      </c>
      <c r="H12" s="9">
        <f>'②予測計算'!H9</f>
        <v/>
      </c>
      <c r="I12" s="9">
        <f>'②予測計算'!I9</f>
        <v/>
      </c>
      <c r="J12" s="9">
        <f>'②予測計算'!J9</f>
        <v/>
      </c>
      <c r="K12" s="9">
        <f>'②予測計算'!K9</f>
        <v/>
      </c>
      <c r="L12" s="9">
        <f>'②予測計算'!L9</f>
        <v/>
      </c>
      <c r="M12" s="9">
        <f>'②予測計算'!M9</f>
        <v/>
      </c>
    </row>
    <row r="13">
      <c r="A13" s="8" t="inlineStr">
        <is>
          <t>DOS（月数）</t>
        </is>
      </c>
      <c r="B13" s="12">
        <f>'②予測計算'!B14</f>
        <v/>
      </c>
      <c r="C13" s="12">
        <f>'②予測計算'!C14</f>
        <v/>
      </c>
      <c r="D13" s="12">
        <f>'②予測計算'!D14</f>
        <v/>
      </c>
      <c r="E13" s="12">
        <f>'②予測計算'!E14</f>
        <v/>
      </c>
      <c r="F13" s="12">
        <f>'②予測計算'!F14</f>
        <v/>
      </c>
      <c r="G13" s="12">
        <f>'②予測計算'!G14</f>
        <v/>
      </c>
      <c r="H13" s="12">
        <f>'②予測計算'!H14</f>
        <v/>
      </c>
      <c r="I13" s="12">
        <f>'②予測計算'!I14</f>
        <v/>
      </c>
      <c r="J13" s="12">
        <f>'②予測計算'!J14</f>
        <v/>
      </c>
      <c r="K13" s="12">
        <f>'②予測計算'!K14</f>
        <v/>
      </c>
      <c r="L13" s="12">
        <f>'②予測計算'!L14</f>
        <v/>
      </c>
      <c r="M13" s="12">
        <f>'②予測計算'!M14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2026-03-26T11:16:39Z</dcterms:created>
  <dcterms:modified xsi:type="dcterms:W3CDTF">2026-03-26T11:16:39Z</dcterms:modified>
</cp:coreProperties>
</file>