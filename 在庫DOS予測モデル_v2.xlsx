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入力データ" sheetId="1" state="visible" r:id="rId1"/>
    <sheet name="②予測計算" sheetId="2" state="visible" r:id="rId2"/>
    <sheet name="③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8"/>
    </font>
    <font>
      <b val="1"/>
      <color rgb="00FFFFFF"/>
      <sz val="9"/>
    </font>
    <font>
      <b val="1"/>
    </font>
    <font>
      <b val="1"/>
      <color rgb="00FFFFFF"/>
      <sz val="10"/>
    </font>
    <font>
      <sz val="9"/>
    </font>
    <font>
      <b val="1"/>
      <sz val="9"/>
    </font>
    <font>
      <b val="1"/>
      <color rgb="00FFFFFF"/>
    </font>
    <font>
      <b val="1"/>
      <color rgb="0000000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7F7F7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1F3864"/>
      </patternFill>
    </fill>
    <fill>
      <patternFill patternType="solid">
        <fgColor rgb="00F0F0F0"/>
      </patternFill>
    </fill>
    <fill>
      <patternFill patternType="solid">
        <fgColor rgb="009DC3E6"/>
      </patternFill>
    </fill>
    <fill>
      <patternFill patternType="solid">
        <fgColor rgb="00C55A11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1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3" fontId="4" fillId="17" borderId="1" applyAlignment="1" pivotButton="0" quotePrefix="0" xfId="0">
      <alignment horizontal="right" vertical="center"/>
    </xf>
    <xf numFmtId="164" fontId="8" fillId="1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0" fillId="0" borderId="1" pivotButton="0" quotePrefix="0" xfId="0"/>
    <xf numFmtId="3" fontId="9" fillId="8" borderId="1" applyAlignment="1" pivotButton="0" quotePrefix="0" xfId="0">
      <alignment horizontal="right" vertical="center"/>
    </xf>
    <xf numFmtId="3" fontId="0" fillId="10" borderId="1" applyAlignment="1" pivotButton="0" quotePrefix="0" xfId="0">
      <alignment horizontal="right" vertical="center"/>
    </xf>
    <xf numFmtId="3" fontId="9" fillId="17" borderId="1" applyAlignment="1" pivotButton="0" quotePrefix="0" xfId="0">
      <alignment horizontal="right" vertical="center"/>
    </xf>
    <xf numFmtId="164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3" customWidth="1" min="5" max="5"/>
  </cols>
  <sheetData>
    <row r="1" ht="28" customHeight="1">
      <c r="A1" s="1" t="inlineStr">
        <is>
          <t>在庫金額・DOS 予測モデル  ―  入力データ</t>
        </is>
      </c>
    </row>
    <row r="2" ht="14" customHeight="1">
      <c r="A2" s="2" t="inlineStr">
        <is>
          <t>🟡 黄色 = 手入力   🔵 青色 = 実績（参照のみ）   🟢 緑色 = 自動計算</t>
        </is>
      </c>
    </row>
    <row r="4" ht="18" customHeight="1">
      <c r="A4" s="3" t="inlineStr">
        <is>
          <t>【Sell Out 販売金額】　単位：円</t>
        </is>
      </c>
    </row>
    <row r="5" ht="18" customHeight="1">
      <c r="A5" s="4" t="inlineStr">
        <is>
          <t>月</t>
        </is>
      </c>
      <c r="B5" s="5" t="inlineStr">
        <is>
          <t>CH1 店舗</t>
        </is>
      </c>
      <c r="C5" s="5" t="inlineStr">
        <is>
          <t>CH2 ROBO</t>
        </is>
      </c>
      <c r="D5" s="5" t="inlineStr">
        <is>
          <t>CH3 B2B</t>
        </is>
      </c>
      <c r="E5" s="5" t="inlineStr">
        <is>
          <t>合計</t>
        </is>
      </c>
    </row>
    <row r="6" ht="17" customHeight="1">
      <c r="A6" s="6" t="inlineStr">
        <is>
          <t>1月（実績）</t>
        </is>
      </c>
      <c r="B6" s="7" t="n">
        <v>0</v>
      </c>
      <c r="C6" s="7" t="n">
        <v>0</v>
      </c>
      <c r="D6" s="7" t="n">
        <v>0</v>
      </c>
      <c r="E6" s="8">
        <f>B6+C6+D6</f>
        <v/>
      </c>
    </row>
    <row r="7" ht="17" customHeight="1">
      <c r="A7" s="6" t="inlineStr">
        <is>
          <t>2月（実績）</t>
        </is>
      </c>
      <c r="B7" s="7" t="n">
        <v>0</v>
      </c>
      <c r="C7" s="7" t="n">
        <v>0</v>
      </c>
      <c r="D7" s="7" t="n">
        <v>0</v>
      </c>
      <c r="E7" s="8">
        <f>B7+C7+D7</f>
        <v/>
      </c>
    </row>
    <row r="8" ht="17" customHeight="1">
      <c r="A8" s="6" t="inlineStr">
        <is>
          <t>3月（目標）</t>
        </is>
      </c>
      <c r="B8" s="9" t="n">
        <v>0</v>
      </c>
      <c r="C8" s="9" t="n">
        <v>0</v>
      </c>
      <c r="D8" s="9" t="n">
        <v>0</v>
      </c>
      <c r="E8" s="8">
        <f>B8+C8+D8</f>
        <v/>
      </c>
    </row>
    <row r="9" ht="17" customHeight="1">
      <c r="A9" s="6" t="inlineStr">
        <is>
          <t>4月（目標）</t>
        </is>
      </c>
      <c r="B9" s="9" t="n">
        <v>0</v>
      </c>
      <c r="C9" s="9" t="n">
        <v>0</v>
      </c>
      <c r="D9" s="9" t="n">
        <v>0</v>
      </c>
      <c r="E9" s="8">
        <f>B9+C9+D9</f>
        <v/>
      </c>
    </row>
    <row r="10" ht="17" customHeight="1">
      <c r="A10" s="6" t="inlineStr">
        <is>
          <t>5月（目標）</t>
        </is>
      </c>
      <c r="B10" s="9" t="n">
        <v>0</v>
      </c>
      <c r="C10" s="9" t="n">
        <v>0</v>
      </c>
      <c r="D10" s="9" t="n">
        <v>0</v>
      </c>
      <c r="E10" s="8">
        <f>B10+C10+D10</f>
        <v/>
      </c>
    </row>
    <row r="11" ht="17" customHeight="1">
      <c r="A11" s="6" t="inlineStr">
        <is>
          <t>6月（目標）</t>
        </is>
      </c>
      <c r="B11" s="9" t="n">
        <v>0</v>
      </c>
      <c r="C11" s="9" t="n">
        <v>0</v>
      </c>
      <c r="D11" s="9" t="n">
        <v>0</v>
      </c>
      <c r="E11" s="8">
        <f>B11+C11+D11</f>
        <v/>
      </c>
    </row>
    <row r="12" ht="17" customHeight="1">
      <c r="A12" s="6" t="inlineStr">
        <is>
          <t>7月（目標）</t>
        </is>
      </c>
      <c r="B12" s="9" t="n">
        <v>0</v>
      </c>
      <c r="C12" s="9" t="n">
        <v>0</v>
      </c>
      <c r="D12" s="9" t="n">
        <v>0</v>
      </c>
      <c r="E12" s="8">
        <f>B12+C12+D12</f>
        <v/>
      </c>
    </row>
    <row r="13" ht="17" customHeight="1">
      <c r="A13" s="6" t="inlineStr">
        <is>
          <t>8月（目標）</t>
        </is>
      </c>
      <c r="B13" s="9" t="n">
        <v>0</v>
      </c>
      <c r="C13" s="9" t="n">
        <v>0</v>
      </c>
      <c r="D13" s="9" t="n">
        <v>0</v>
      </c>
      <c r="E13" s="8">
        <f>B13+C13+D13</f>
        <v/>
      </c>
    </row>
    <row r="14" ht="17" customHeight="1">
      <c r="A14" s="6" t="inlineStr">
        <is>
          <t>9月（目標）</t>
        </is>
      </c>
      <c r="B14" s="9" t="n">
        <v>0</v>
      </c>
      <c r="C14" s="9" t="n">
        <v>0</v>
      </c>
      <c r="D14" s="9" t="n">
        <v>0</v>
      </c>
      <c r="E14" s="8">
        <f>B14+C14+D14</f>
        <v/>
      </c>
    </row>
    <row r="15" ht="17" customHeight="1">
      <c r="A15" s="6" t="inlineStr">
        <is>
          <t>10月（目標）</t>
        </is>
      </c>
      <c r="B15" s="9" t="n">
        <v>0</v>
      </c>
      <c r="C15" s="9" t="n">
        <v>0</v>
      </c>
      <c r="D15" s="9" t="n">
        <v>0</v>
      </c>
      <c r="E15" s="8">
        <f>B15+C15+D15</f>
        <v/>
      </c>
    </row>
    <row r="16" ht="17" customHeight="1">
      <c r="A16" s="6" t="inlineStr">
        <is>
          <t>11月（目標）</t>
        </is>
      </c>
      <c r="B16" s="9" t="n">
        <v>0</v>
      </c>
      <c r="C16" s="9" t="n">
        <v>0</v>
      </c>
      <c r="D16" s="9" t="n">
        <v>0</v>
      </c>
      <c r="E16" s="8">
        <f>B16+C16+D16</f>
        <v/>
      </c>
    </row>
    <row r="17" ht="17" customHeight="1">
      <c r="A17" s="6" t="inlineStr">
        <is>
          <t>12月（目標）</t>
        </is>
      </c>
      <c r="B17" s="9" t="n">
        <v>0</v>
      </c>
      <c r="C17" s="9" t="n">
        <v>0</v>
      </c>
      <c r="D17" s="9" t="n">
        <v>0</v>
      </c>
      <c r="E17" s="8">
        <f>B17+C17+D17</f>
        <v/>
      </c>
    </row>
    <row r="19" ht="18" customHeight="1">
      <c r="A19" s="3" t="inlineStr">
        <is>
          <t>【仕入入庫金額（채购到货）】　単位：円</t>
        </is>
      </c>
    </row>
    <row r="20" ht="18" customHeight="1">
      <c r="A20" s="4" t="inlineStr">
        <is>
          <t>月</t>
        </is>
      </c>
      <c r="B20" s="5" t="inlineStr">
        <is>
          <t>CH1 店舗</t>
        </is>
      </c>
      <c r="C20" s="5" t="inlineStr">
        <is>
          <t>CH2 ROBO</t>
        </is>
      </c>
      <c r="D20" s="5" t="inlineStr">
        <is>
          <t>CH3 B2B</t>
        </is>
      </c>
      <c r="E20" s="5" t="inlineStr">
        <is>
          <t>合計</t>
        </is>
      </c>
    </row>
    <row r="21" ht="17" customHeight="1">
      <c r="A21" s="6" t="inlineStr">
        <is>
          <t>1月（実績）</t>
        </is>
      </c>
      <c r="B21" s="7" t="n">
        <v>0</v>
      </c>
      <c r="C21" s="7" t="n">
        <v>0</v>
      </c>
      <c r="D21" s="7" t="n">
        <v>0</v>
      </c>
      <c r="E21" s="8">
        <f>B21+C21+D21</f>
        <v/>
      </c>
    </row>
    <row r="22" ht="17" customHeight="1">
      <c r="A22" s="6" t="inlineStr">
        <is>
          <t>2月（実績）</t>
        </is>
      </c>
      <c r="B22" s="7" t="n">
        <v>0</v>
      </c>
      <c r="C22" s="7" t="n">
        <v>0</v>
      </c>
      <c r="D22" s="7" t="n">
        <v>0</v>
      </c>
      <c r="E22" s="8">
        <f>B22+C22+D22</f>
        <v/>
      </c>
    </row>
    <row r="23" ht="17" customHeight="1">
      <c r="A23" s="6" t="inlineStr">
        <is>
          <t>3月（計画）</t>
        </is>
      </c>
      <c r="B23" s="9" t="n">
        <v>0</v>
      </c>
      <c r="C23" s="9" t="n">
        <v>0</v>
      </c>
      <c r="D23" s="9" t="n">
        <v>0</v>
      </c>
      <c r="E23" s="8">
        <f>B23+C23+D23</f>
        <v/>
      </c>
    </row>
    <row r="24" ht="17" customHeight="1">
      <c r="A24" s="6" t="inlineStr">
        <is>
          <t>4月（計画）</t>
        </is>
      </c>
      <c r="B24" s="9" t="n">
        <v>0</v>
      </c>
      <c r="C24" s="9" t="n">
        <v>0</v>
      </c>
      <c r="D24" s="9" t="n">
        <v>0</v>
      </c>
      <c r="E24" s="8">
        <f>B24+C24+D24</f>
        <v/>
      </c>
    </row>
    <row r="25" ht="17" customHeight="1">
      <c r="A25" s="6" t="inlineStr">
        <is>
          <t>5月（計画）</t>
        </is>
      </c>
      <c r="B25" s="9" t="n">
        <v>0</v>
      </c>
      <c r="C25" s="9" t="n">
        <v>0</v>
      </c>
      <c r="D25" s="9" t="n">
        <v>0</v>
      </c>
      <c r="E25" s="8">
        <f>B25+C25+D25</f>
        <v/>
      </c>
    </row>
    <row r="26" ht="17" customHeight="1">
      <c r="A26" s="6" t="inlineStr">
        <is>
          <t>6月（計画）</t>
        </is>
      </c>
      <c r="B26" s="9" t="n">
        <v>0</v>
      </c>
      <c r="C26" s="9" t="n">
        <v>0</v>
      </c>
      <c r="D26" s="9" t="n">
        <v>0</v>
      </c>
      <c r="E26" s="8">
        <f>B26+C26+D26</f>
        <v/>
      </c>
    </row>
    <row r="27" ht="17" customHeight="1">
      <c r="A27" s="6" t="inlineStr">
        <is>
          <t>7月（計画）</t>
        </is>
      </c>
      <c r="B27" s="9" t="n">
        <v>0</v>
      </c>
      <c r="C27" s="9" t="n">
        <v>0</v>
      </c>
      <c r="D27" s="9" t="n">
        <v>0</v>
      </c>
      <c r="E27" s="8">
        <f>B27+C27+D27</f>
        <v/>
      </c>
    </row>
    <row r="28" ht="17" customHeight="1">
      <c r="A28" s="6" t="inlineStr">
        <is>
          <t>8月（計画）</t>
        </is>
      </c>
      <c r="B28" s="9" t="n">
        <v>0</v>
      </c>
      <c r="C28" s="9" t="n">
        <v>0</v>
      </c>
      <c r="D28" s="9" t="n">
        <v>0</v>
      </c>
      <c r="E28" s="8">
        <f>B28+C28+D28</f>
        <v/>
      </c>
    </row>
    <row r="29" ht="17" customHeight="1">
      <c r="A29" s="6" t="inlineStr">
        <is>
          <t>9月（計画）</t>
        </is>
      </c>
      <c r="B29" s="9" t="n">
        <v>0</v>
      </c>
      <c r="C29" s="9" t="n">
        <v>0</v>
      </c>
      <c r="D29" s="9" t="n">
        <v>0</v>
      </c>
      <c r="E29" s="8">
        <f>B29+C29+D29</f>
        <v/>
      </c>
    </row>
    <row r="30" ht="17" customHeight="1">
      <c r="A30" s="6" t="inlineStr">
        <is>
          <t>10月（計画）</t>
        </is>
      </c>
      <c r="B30" s="9" t="n">
        <v>0</v>
      </c>
      <c r="C30" s="9" t="n">
        <v>0</v>
      </c>
      <c r="D30" s="9" t="n">
        <v>0</v>
      </c>
      <c r="E30" s="8">
        <f>B30+C30+D30</f>
        <v/>
      </c>
    </row>
    <row r="31" ht="17" customHeight="1">
      <c r="A31" s="6" t="inlineStr">
        <is>
          <t>11月（計画）</t>
        </is>
      </c>
      <c r="B31" s="9" t="n">
        <v>0</v>
      </c>
      <c r="C31" s="9" t="n">
        <v>0</v>
      </c>
      <c r="D31" s="9" t="n">
        <v>0</v>
      </c>
      <c r="E31" s="8">
        <f>B31+C31+D31</f>
        <v/>
      </c>
    </row>
    <row r="32" ht="17" customHeight="1">
      <c r="A32" s="6" t="inlineStr">
        <is>
          <t>12月（計画）</t>
        </is>
      </c>
      <c r="B32" s="9" t="n">
        <v>0</v>
      </c>
      <c r="C32" s="9" t="n">
        <v>0</v>
      </c>
      <c r="D32" s="9" t="n">
        <v>0</v>
      </c>
      <c r="E32" s="8">
        <f>B32+C32+D32</f>
        <v/>
      </c>
    </row>
    <row r="34" ht="18" customHeight="1">
      <c r="A34" s="3" t="inlineStr">
        <is>
          <t>【月末総在庫 実績】　1月末・2月末のみ入力　単位：円</t>
        </is>
      </c>
    </row>
    <row r="35" ht="18" customHeight="1">
      <c r="A35" s="4" t="inlineStr">
        <is>
          <t>月</t>
        </is>
      </c>
      <c r="B35" s="5" t="inlineStr">
        <is>
          <t>CH1 店舗</t>
        </is>
      </c>
      <c r="C35" s="5" t="inlineStr">
        <is>
          <t>CH2 ROBO</t>
        </is>
      </c>
      <c r="D35" s="5" t="inlineStr">
        <is>
          <t>CH3 B2B</t>
        </is>
      </c>
      <c r="E35" s="5" t="inlineStr">
        <is>
          <t>合計</t>
        </is>
      </c>
    </row>
    <row r="36" ht="17" customHeight="1">
      <c r="A36" s="6" t="inlineStr">
        <is>
          <t>1月末（実績）</t>
        </is>
      </c>
      <c r="B36" s="7" t="n">
        <v>0</v>
      </c>
      <c r="C36" s="7" t="n">
        <v>0</v>
      </c>
      <c r="D36" s="7" t="n">
        <v>0</v>
      </c>
      <c r="E36" s="8">
        <f>B36+C36+D36</f>
        <v/>
      </c>
    </row>
    <row r="37" ht="17" customHeight="1">
      <c r="A37" s="6" t="inlineStr">
        <is>
          <t>2月末（実績）</t>
        </is>
      </c>
      <c r="B37" s="7" t="n">
        <v>0</v>
      </c>
      <c r="C37" s="7" t="n">
        <v>0</v>
      </c>
      <c r="D37" s="7" t="n">
        <v>0</v>
      </c>
      <c r="E37" s="8">
        <f>B37+C37+D37</f>
        <v/>
      </c>
    </row>
    <row r="40" ht="18" customHeight="1">
      <c r="A40" s="3" t="inlineStr">
        <is>
          <t>【参考】店舗数・ROBO台数（DOS分析の補助用）</t>
        </is>
      </c>
    </row>
    <row r="41" ht="18" customHeight="1">
      <c r="A41" s="4" t="inlineStr">
        <is>
          <t>月</t>
        </is>
      </c>
      <c r="B41" s="5" t="inlineStr">
        <is>
          <t>CH1 店舗数（月末）</t>
        </is>
      </c>
      <c r="C41" s="5" t="inlineStr">
        <is>
          <t>CH2 ROBO台数（月末）</t>
        </is>
      </c>
      <c r="D41" s="4" t="inlineStr">
        <is>
          <t>備考</t>
        </is>
      </c>
    </row>
    <row r="42" ht="17" customHeight="1">
      <c r="A42" s="6" t="inlineStr">
        <is>
          <t>1月</t>
        </is>
      </c>
      <c r="B42" s="10" t="n">
        <v>0</v>
      </c>
      <c r="C42" s="10" t="n">
        <v>0</v>
      </c>
      <c r="D42" s="11" t="inlineStr"/>
    </row>
    <row r="43" ht="17" customHeight="1">
      <c r="A43" s="6" t="inlineStr">
        <is>
          <t>2月</t>
        </is>
      </c>
      <c r="B43" s="10" t="n">
        <v>0</v>
      </c>
      <c r="C43" s="10" t="n">
        <v>0</v>
      </c>
      <c r="D43" s="11" t="inlineStr"/>
    </row>
    <row r="44" ht="17" customHeight="1">
      <c r="A44" s="6" t="inlineStr">
        <is>
          <t>3月</t>
        </is>
      </c>
      <c r="B44" s="10" t="n">
        <v>0</v>
      </c>
      <c r="C44" s="10" t="n">
        <v>0</v>
      </c>
      <c r="D44" s="11" t="inlineStr"/>
    </row>
    <row r="45" ht="17" customHeight="1">
      <c r="A45" s="6" t="inlineStr">
        <is>
          <t>4月</t>
        </is>
      </c>
      <c r="B45" s="10" t="n">
        <v>0</v>
      </c>
      <c r="C45" s="10" t="n">
        <v>0</v>
      </c>
      <c r="D45" s="11" t="inlineStr"/>
    </row>
    <row r="46" ht="17" customHeight="1">
      <c r="A46" s="6" t="inlineStr">
        <is>
          <t>5月</t>
        </is>
      </c>
      <c r="B46" s="10" t="n">
        <v>0</v>
      </c>
      <c r="C46" s="10" t="n">
        <v>0</v>
      </c>
      <c r="D46" s="11" t="inlineStr"/>
    </row>
    <row r="47" ht="17" customHeight="1">
      <c r="A47" s="6" t="inlineStr">
        <is>
          <t>6月</t>
        </is>
      </c>
      <c r="B47" s="10" t="n">
        <v>0</v>
      </c>
      <c r="C47" s="10" t="n">
        <v>0</v>
      </c>
      <c r="D47" s="11" t="inlineStr"/>
    </row>
    <row r="48" ht="17" customHeight="1">
      <c r="A48" s="6" t="inlineStr">
        <is>
          <t>7月</t>
        </is>
      </c>
      <c r="B48" s="10" t="n">
        <v>0</v>
      </c>
      <c r="C48" s="10" t="n">
        <v>0</v>
      </c>
      <c r="D48" s="11" t="inlineStr"/>
    </row>
    <row r="49" ht="17" customHeight="1">
      <c r="A49" s="6" t="inlineStr">
        <is>
          <t>8月</t>
        </is>
      </c>
      <c r="B49" s="10" t="n">
        <v>0</v>
      </c>
      <c r="C49" s="10" t="n">
        <v>0</v>
      </c>
      <c r="D49" s="11" t="inlineStr"/>
    </row>
    <row r="50" ht="17" customHeight="1">
      <c r="A50" s="6" t="inlineStr">
        <is>
          <t>9月</t>
        </is>
      </c>
      <c r="B50" s="10" t="n">
        <v>0</v>
      </c>
      <c r="C50" s="10" t="n">
        <v>0</v>
      </c>
      <c r="D50" s="11" t="inlineStr"/>
    </row>
    <row r="51" ht="17" customHeight="1">
      <c r="A51" s="6" t="inlineStr">
        <is>
          <t>10月</t>
        </is>
      </c>
      <c r="B51" s="10" t="n">
        <v>0</v>
      </c>
      <c r="C51" s="10" t="n">
        <v>0</v>
      </c>
      <c r="D51" s="11" t="inlineStr"/>
    </row>
    <row r="52" ht="17" customHeight="1">
      <c r="A52" s="6" t="inlineStr">
        <is>
          <t>11月</t>
        </is>
      </c>
      <c r="B52" s="10" t="n">
        <v>0</v>
      </c>
      <c r="C52" s="10" t="n">
        <v>0</v>
      </c>
      <c r="D52" s="11" t="inlineStr"/>
    </row>
    <row r="53" ht="17" customHeight="1">
      <c r="A53" s="6" t="inlineStr">
        <is>
          <t>12月</t>
        </is>
      </c>
      <c r="B53" s="10" t="n">
        <v>0</v>
      </c>
      <c r="C53" s="10" t="n">
        <v>0</v>
      </c>
      <c r="D53" s="11" t="inlineStr"/>
    </row>
  </sheetData>
  <mergeCells count="6">
    <mergeCell ref="A34:E34"/>
    <mergeCell ref="A4:E4"/>
    <mergeCell ref="A2:E2"/>
    <mergeCell ref="A19:E19"/>
    <mergeCell ref="A1:E1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在庫金額・DOS 月次予測計算シート</t>
        </is>
      </c>
    </row>
    <row r="2" ht="14" customHeight="1">
      <c r="A2" s="2" t="inlineStr">
        <is>
          <t>数式は自動設定済み。1月・2月は実績を参照。3月以降は入力データシートの計画値から自動計算。</t>
        </is>
      </c>
    </row>
    <row r="3" ht="20" customHeight="1">
      <c r="A3" s="12" t="inlineStr">
        <is>
          <t>指標</t>
        </is>
      </c>
      <c r="B3" s="13" t="inlineStr">
        <is>
          <t>1月</t>
        </is>
      </c>
      <c r="C3" s="13" t="inlineStr">
        <is>
          <t>2月</t>
        </is>
      </c>
      <c r="D3" s="13" t="inlineStr">
        <is>
          <t>3月</t>
        </is>
      </c>
      <c r="E3" s="13" t="inlineStr">
        <is>
          <t>4月</t>
        </is>
      </c>
      <c r="F3" s="13" t="inlineStr">
        <is>
          <t>5月</t>
        </is>
      </c>
      <c r="G3" s="13" t="inlineStr">
        <is>
          <t>6月</t>
        </is>
      </c>
      <c r="H3" s="13" t="inlineStr">
        <is>
          <t>7月</t>
        </is>
      </c>
      <c r="I3" s="13" t="inlineStr">
        <is>
          <t>8月</t>
        </is>
      </c>
      <c r="J3" s="13" t="inlineStr">
        <is>
          <t>9月</t>
        </is>
      </c>
      <c r="K3" s="13" t="inlineStr">
        <is>
          <t>10月</t>
        </is>
      </c>
      <c r="L3" s="13" t="inlineStr">
        <is>
          <t>11月</t>
        </is>
      </c>
      <c r="M3" s="13" t="inlineStr">
        <is>
          <t>12月</t>
        </is>
      </c>
    </row>
    <row r="5" ht="20" customHeight="1">
      <c r="A5" s="14" t="inlineStr">
        <is>
          <t xml:space="preserve">  CH1 店舗</t>
        </is>
      </c>
    </row>
    <row r="6" ht="17" customHeight="1">
      <c r="A6" s="15" t="inlineStr">
        <is>
          <t>Sell Out 販売金額</t>
        </is>
      </c>
      <c r="B6" s="7">
        <f>'①入力データ'!B6</f>
        <v/>
      </c>
      <c r="C6" s="7">
        <f>'①入力データ'!B7</f>
        <v/>
      </c>
      <c r="D6" s="16">
        <f>'①入力データ'!B8</f>
        <v/>
      </c>
      <c r="E6" s="16">
        <f>'①入力データ'!B9</f>
        <v/>
      </c>
      <c r="F6" s="16">
        <f>'①入力データ'!B10</f>
        <v/>
      </c>
      <c r="G6" s="16">
        <f>'①入力データ'!B11</f>
        <v/>
      </c>
      <c r="H6" s="16">
        <f>'①入力データ'!B12</f>
        <v/>
      </c>
      <c r="I6" s="16">
        <f>'①入力データ'!B13</f>
        <v/>
      </c>
      <c r="J6" s="16">
        <f>'①入力データ'!B14</f>
        <v/>
      </c>
      <c r="K6" s="16">
        <f>'①入力データ'!B15</f>
        <v/>
      </c>
      <c r="L6" s="16">
        <f>'①入力データ'!B16</f>
        <v/>
      </c>
      <c r="M6" s="16">
        <f>'①入力データ'!B17</f>
        <v/>
      </c>
    </row>
    <row r="7" ht="17" customHeight="1">
      <c r="A7" s="15" t="inlineStr">
        <is>
          <t>仕入入庫金額</t>
        </is>
      </c>
      <c r="B7" s="7">
        <f>'①入力データ'!B21</f>
        <v/>
      </c>
      <c r="C7" s="7">
        <f>'①入力データ'!B22</f>
        <v/>
      </c>
      <c r="D7" s="9">
        <f>'①入力データ'!B23</f>
        <v/>
      </c>
      <c r="E7" s="9">
        <f>'①入力データ'!B24</f>
        <v/>
      </c>
      <c r="F7" s="9">
        <f>'①入力データ'!B25</f>
        <v/>
      </c>
      <c r="G7" s="9">
        <f>'①入力データ'!B26</f>
        <v/>
      </c>
      <c r="H7" s="9">
        <f>'①入力データ'!B27</f>
        <v/>
      </c>
      <c r="I7" s="9">
        <f>'①入力データ'!B28</f>
        <v/>
      </c>
      <c r="J7" s="9">
        <f>'①入力データ'!B29</f>
        <v/>
      </c>
      <c r="K7" s="9">
        <f>'①入力データ'!B30</f>
        <v/>
      </c>
      <c r="L7" s="9">
        <f>'①入力データ'!B31</f>
        <v/>
      </c>
      <c r="M7" s="9">
        <f>'①入力データ'!B32</f>
        <v/>
      </c>
    </row>
    <row r="8" ht="17" customHeight="1">
      <c r="A8" s="17" t="inlineStr">
        <is>
          <t>月末在庫金額</t>
        </is>
      </c>
      <c r="B8" s="18">
        <f>'①入力データ'!B36</f>
        <v/>
      </c>
      <c r="C8" s="18">
        <f>'①入力データ'!B37</f>
        <v/>
      </c>
      <c r="D8" s="18">
        <f>C8+D7-D6</f>
        <v/>
      </c>
      <c r="E8" s="18">
        <f>D8+E7-E6</f>
        <v/>
      </c>
      <c r="F8" s="18">
        <f>E8+F7-F6</f>
        <v/>
      </c>
      <c r="G8" s="18">
        <f>F8+G7-G6</f>
        <v/>
      </c>
      <c r="H8" s="18">
        <f>G8+H7-H6</f>
        <v/>
      </c>
      <c r="I8" s="18">
        <f>H8+I7-I6</f>
        <v/>
      </c>
      <c r="J8" s="18">
        <f>I8+J7-J6</f>
        <v/>
      </c>
      <c r="K8" s="18">
        <f>J8+K7-K6</f>
        <v/>
      </c>
      <c r="L8" s="18">
        <f>K8+L7-L6</f>
        <v/>
      </c>
      <c r="M8" s="18">
        <f>L8+M7-M6</f>
        <v/>
      </c>
    </row>
    <row r="9" ht="17" customHeight="1">
      <c r="A9" s="15" t="inlineStr">
        <is>
          <t>翌月 日別Sell Out</t>
        </is>
      </c>
      <c r="B9" s="16">
        <f>'①入力データ'!B7/28</f>
        <v/>
      </c>
      <c r="C9" s="16">
        <f>'①入力データ'!B8/31</f>
        <v/>
      </c>
      <c r="D9" s="16">
        <f>'①入力データ'!B9/30</f>
        <v/>
      </c>
      <c r="E9" s="16">
        <f>'①入力データ'!B10/31</f>
        <v/>
      </c>
      <c r="F9" s="16">
        <f>'①入力データ'!B11/30</f>
        <v/>
      </c>
      <c r="G9" s="16">
        <f>'①入力データ'!B12/31</f>
        <v/>
      </c>
      <c r="H9" s="16">
        <f>'①入力データ'!B13/31</f>
        <v/>
      </c>
      <c r="I9" s="16">
        <f>'①入力データ'!B14/30</f>
        <v/>
      </c>
      <c r="J9" s="16">
        <f>'①入力データ'!B15/31</f>
        <v/>
      </c>
      <c r="K9" s="16">
        <f>'①入力データ'!B16/30</f>
        <v/>
      </c>
      <c r="L9" s="16">
        <f>'①入力データ'!B17/31</f>
        <v/>
      </c>
      <c r="M9" s="16">
        <f>'①入力データ'!B17/31</f>
        <v/>
      </c>
    </row>
    <row r="10" ht="17" customHeight="1">
      <c r="A10" s="17" t="inlineStr">
        <is>
          <t>DOS（日）</t>
        </is>
      </c>
      <c r="B10" s="19">
        <f>IF(B9&gt;0, B8/B9, 0)</f>
        <v/>
      </c>
      <c r="C10" s="19">
        <f>IF(C9&gt;0, C8/C9, 0)</f>
        <v/>
      </c>
      <c r="D10" s="19">
        <f>IF(D9&gt;0, D8/D9, 0)</f>
        <v/>
      </c>
      <c r="E10" s="19">
        <f>IF(E9&gt;0, E8/E9, 0)</f>
        <v/>
      </c>
      <c r="F10" s="19">
        <f>IF(F9&gt;0, F8/F9, 0)</f>
        <v/>
      </c>
      <c r="G10" s="19">
        <f>IF(G9&gt;0, G8/G9, 0)</f>
        <v/>
      </c>
      <c r="H10" s="19">
        <f>IF(H9&gt;0, H8/H9, 0)</f>
        <v/>
      </c>
      <c r="I10" s="19">
        <f>IF(I9&gt;0, I8/I9, 0)</f>
        <v/>
      </c>
      <c r="J10" s="19">
        <f>IF(J9&gt;0, J8/J9, 0)</f>
        <v/>
      </c>
      <c r="K10" s="19">
        <f>IF(K9&gt;0, K8/K9, 0)</f>
        <v/>
      </c>
      <c r="L10" s="19">
        <f>IF(L9&gt;0, L8/L9, 0)</f>
        <v/>
      </c>
      <c r="M10" s="19">
        <f>IF(M9&gt;0, M8/M9, 0)</f>
        <v/>
      </c>
    </row>
    <row r="13" ht="20" customHeight="1">
      <c r="A13" s="20" t="inlineStr">
        <is>
          <t xml:space="preserve">  CH2 ROBO</t>
        </is>
      </c>
    </row>
    <row r="14" ht="17" customHeight="1">
      <c r="A14" s="15" t="inlineStr">
        <is>
          <t>Sell Out 販売金額</t>
        </is>
      </c>
      <c r="B14" s="7">
        <f>'①入力データ'!C6</f>
        <v/>
      </c>
      <c r="C14" s="7">
        <f>'①入力データ'!C7</f>
        <v/>
      </c>
      <c r="D14" s="16">
        <f>'①入力データ'!C8</f>
        <v/>
      </c>
      <c r="E14" s="16">
        <f>'①入力データ'!C9</f>
        <v/>
      </c>
      <c r="F14" s="16">
        <f>'①入力データ'!C10</f>
        <v/>
      </c>
      <c r="G14" s="16">
        <f>'①入力データ'!C11</f>
        <v/>
      </c>
      <c r="H14" s="16">
        <f>'①入力データ'!C12</f>
        <v/>
      </c>
      <c r="I14" s="16">
        <f>'①入力データ'!C13</f>
        <v/>
      </c>
      <c r="J14" s="16">
        <f>'①入力データ'!C14</f>
        <v/>
      </c>
      <c r="K14" s="16">
        <f>'①入力データ'!C15</f>
        <v/>
      </c>
      <c r="L14" s="16">
        <f>'①入力データ'!C16</f>
        <v/>
      </c>
      <c r="M14" s="16">
        <f>'①入力データ'!C17</f>
        <v/>
      </c>
    </row>
    <row r="15" ht="17" customHeight="1">
      <c r="A15" s="15" t="inlineStr">
        <is>
          <t>仕入入庫金額</t>
        </is>
      </c>
      <c r="B15" s="7">
        <f>'①入力データ'!C21</f>
        <v/>
      </c>
      <c r="C15" s="7">
        <f>'①入力データ'!C22</f>
        <v/>
      </c>
      <c r="D15" s="9">
        <f>'①入力データ'!C23</f>
        <v/>
      </c>
      <c r="E15" s="9">
        <f>'①入力データ'!C24</f>
        <v/>
      </c>
      <c r="F15" s="9">
        <f>'①入力データ'!C25</f>
        <v/>
      </c>
      <c r="G15" s="9">
        <f>'①入力データ'!C26</f>
        <v/>
      </c>
      <c r="H15" s="9">
        <f>'①入力データ'!C27</f>
        <v/>
      </c>
      <c r="I15" s="9">
        <f>'①入力データ'!C28</f>
        <v/>
      </c>
      <c r="J15" s="9">
        <f>'①入力データ'!C29</f>
        <v/>
      </c>
      <c r="K15" s="9">
        <f>'①入力データ'!C30</f>
        <v/>
      </c>
      <c r="L15" s="9">
        <f>'①入力データ'!C31</f>
        <v/>
      </c>
      <c r="M15" s="9">
        <f>'①入力データ'!C32</f>
        <v/>
      </c>
    </row>
    <row r="16" ht="17" customHeight="1">
      <c r="A16" s="17" t="inlineStr">
        <is>
          <t>月末在庫金額</t>
        </is>
      </c>
      <c r="B16" s="18">
        <f>'①入力データ'!C36</f>
        <v/>
      </c>
      <c r="C16" s="18">
        <f>'①入力データ'!C37</f>
        <v/>
      </c>
      <c r="D16" s="18">
        <f>C16+D15-D14</f>
        <v/>
      </c>
      <c r="E16" s="18">
        <f>D16+E15-E14</f>
        <v/>
      </c>
      <c r="F16" s="18">
        <f>E16+F15-F14</f>
        <v/>
      </c>
      <c r="G16" s="18">
        <f>F16+G15-G14</f>
        <v/>
      </c>
      <c r="H16" s="18">
        <f>G16+H15-H14</f>
        <v/>
      </c>
      <c r="I16" s="18">
        <f>H16+I15-I14</f>
        <v/>
      </c>
      <c r="J16" s="18">
        <f>I16+J15-J14</f>
        <v/>
      </c>
      <c r="K16" s="18">
        <f>J16+K15-K14</f>
        <v/>
      </c>
      <c r="L16" s="18">
        <f>K16+L15-L14</f>
        <v/>
      </c>
      <c r="M16" s="18">
        <f>L16+M15-M14</f>
        <v/>
      </c>
    </row>
    <row r="17" ht="17" customHeight="1">
      <c r="A17" s="15" t="inlineStr">
        <is>
          <t>翌月 日別Sell Out</t>
        </is>
      </c>
      <c r="B17" s="16">
        <f>'①入力データ'!C7/28</f>
        <v/>
      </c>
      <c r="C17" s="16">
        <f>'①入力データ'!C8/31</f>
        <v/>
      </c>
      <c r="D17" s="16">
        <f>'①入力データ'!C9/30</f>
        <v/>
      </c>
      <c r="E17" s="16">
        <f>'①入力データ'!C10/31</f>
        <v/>
      </c>
      <c r="F17" s="16">
        <f>'①入力データ'!C11/30</f>
        <v/>
      </c>
      <c r="G17" s="16">
        <f>'①入力データ'!C12/31</f>
        <v/>
      </c>
      <c r="H17" s="16">
        <f>'①入力データ'!C13/31</f>
        <v/>
      </c>
      <c r="I17" s="16">
        <f>'①入力データ'!C14/30</f>
        <v/>
      </c>
      <c r="J17" s="16">
        <f>'①入力データ'!C15/31</f>
        <v/>
      </c>
      <c r="K17" s="16">
        <f>'①入力データ'!C16/30</f>
        <v/>
      </c>
      <c r="L17" s="16">
        <f>'①入力データ'!C17/31</f>
        <v/>
      </c>
      <c r="M17" s="16">
        <f>'①入力データ'!C17/31</f>
        <v/>
      </c>
    </row>
    <row r="18" ht="17" customHeight="1">
      <c r="A18" s="17" t="inlineStr">
        <is>
          <t>DOS（日）</t>
        </is>
      </c>
      <c r="B18" s="19">
        <f>IF(B17&gt;0, B16/B17, 0)</f>
        <v/>
      </c>
      <c r="C18" s="19">
        <f>IF(C17&gt;0, C16/C17, 0)</f>
        <v/>
      </c>
      <c r="D18" s="19">
        <f>IF(D17&gt;0, D16/D17, 0)</f>
        <v/>
      </c>
      <c r="E18" s="19">
        <f>IF(E17&gt;0, E16/E17, 0)</f>
        <v/>
      </c>
      <c r="F18" s="19">
        <f>IF(F17&gt;0, F16/F17, 0)</f>
        <v/>
      </c>
      <c r="G18" s="19">
        <f>IF(G17&gt;0, G16/G17, 0)</f>
        <v/>
      </c>
      <c r="H18" s="19">
        <f>IF(H17&gt;0, H16/H17, 0)</f>
        <v/>
      </c>
      <c r="I18" s="19">
        <f>IF(I17&gt;0, I16/I17, 0)</f>
        <v/>
      </c>
      <c r="J18" s="19">
        <f>IF(J17&gt;0, J16/J17, 0)</f>
        <v/>
      </c>
      <c r="K18" s="19">
        <f>IF(K17&gt;0, K16/K17, 0)</f>
        <v/>
      </c>
      <c r="L18" s="19">
        <f>IF(L17&gt;0, L16/L17, 0)</f>
        <v/>
      </c>
      <c r="M18" s="19">
        <f>IF(M17&gt;0, M16/M17, 0)</f>
        <v/>
      </c>
    </row>
    <row r="21" ht="20" customHeight="1">
      <c r="A21" s="21" t="inlineStr">
        <is>
          <t xml:space="preserve">  CH3 B2B</t>
        </is>
      </c>
    </row>
    <row r="22" ht="17" customHeight="1">
      <c r="A22" s="15" t="inlineStr">
        <is>
          <t>Sell Out 販売金額</t>
        </is>
      </c>
      <c r="B22" s="7">
        <f>'①入力データ'!D6</f>
        <v/>
      </c>
      <c r="C22" s="7">
        <f>'①入力データ'!D7</f>
        <v/>
      </c>
      <c r="D22" s="16">
        <f>'①入力データ'!D8</f>
        <v/>
      </c>
      <c r="E22" s="16">
        <f>'①入力データ'!D9</f>
        <v/>
      </c>
      <c r="F22" s="16">
        <f>'①入力データ'!D10</f>
        <v/>
      </c>
      <c r="G22" s="16">
        <f>'①入力データ'!D11</f>
        <v/>
      </c>
      <c r="H22" s="16">
        <f>'①入力データ'!D12</f>
        <v/>
      </c>
      <c r="I22" s="16">
        <f>'①入力データ'!D13</f>
        <v/>
      </c>
      <c r="J22" s="16">
        <f>'①入力データ'!D14</f>
        <v/>
      </c>
      <c r="K22" s="16">
        <f>'①入力データ'!D15</f>
        <v/>
      </c>
      <c r="L22" s="16">
        <f>'①入力データ'!D16</f>
        <v/>
      </c>
      <c r="M22" s="16">
        <f>'①入力データ'!D17</f>
        <v/>
      </c>
    </row>
    <row r="23" ht="17" customHeight="1">
      <c r="A23" s="15" t="inlineStr">
        <is>
          <t>仕入入庫金額</t>
        </is>
      </c>
      <c r="B23" s="7">
        <f>'①入力データ'!D21</f>
        <v/>
      </c>
      <c r="C23" s="7">
        <f>'①入力データ'!D22</f>
        <v/>
      </c>
      <c r="D23" s="9">
        <f>'①入力データ'!D23</f>
        <v/>
      </c>
      <c r="E23" s="9">
        <f>'①入力データ'!D24</f>
        <v/>
      </c>
      <c r="F23" s="9">
        <f>'①入力データ'!D25</f>
        <v/>
      </c>
      <c r="G23" s="9">
        <f>'①入力データ'!D26</f>
        <v/>
      </c>
      <c r="H23" s="9">
        <f>'①入力データ'!D27</f>
        <v/>
      </c>
      <c r="I23" s="9">
        <f>'①入力データ'!D28</f>
        <v/>
      </c>
      <c r="J23" s="9">
        <f>'①入力データ'!D29</f>
        <v/>
      </c>
      <c r="K23" s="9">
        <f>'①入力データ'!D30</f>
        <v/>
      </c>
      <c r="L23" s="9">
        <f>'①入力データ'!D31</f>
        <v/>
      </c>
      <c r="M23" s="9">
        <f>'①入力データ'!D32</f>
        <v/>
      </c>
    </row>
    <row r="24" ht="17" customHeight="1">
      <c r="A24" s="17" t="inlineStr">
        <is>
          <t>月末在庫金額</t>
        </is>
      </c>
      <c r="B24" s="18">
        <f>'①入力データ'!D36</f>
        <v/>
      </c>
      <c r="C24" s="18">
        <f>'①入力データ'!D37</f>
        <v/>
      </c>
      <c r="D24" s="18">
        <f>C24+D23-D22</f>
        <v/>
      </c>
      <c r="E24" s="18">
        <f>D24+E23-E22</f>
        <v/>
      </c>
      <c r="F24" s="18">
        <f>E24+F23-F22</f>
        <v/>
      </c>
      <c r="G24" s="18">
        <f>F24+G23-G22</f>
        <v/>
      </c>
      <c r="H24" s="18">
        <f>G24+H23-H22</f>
        <v/>
      </c>
      <c r="I24" s="18">
        <f>H24+I23-I22</f>
        <v/>
      </c>
      <c r="J24" s="18">
        <f>I24+J23-J22</f>
        <v/>
      </c>
      <c r="K24" s="18">
        <f>J24+K23-K22</f>
        <v/>
      </c>
      <c r="L24" s="18">
        <f>K24+L23-L22</f>
        <v/>
      </c>
      <c r="M24" s="18">
        <f>L24+M23-M22</f>
        <v/>
      </c>
    </row>
    <row r="25" ht="17" customHeight="1">
      <c r="A25" s="15" t="inlineStr">
        <is>
          <t>翌月 日別Sell Out</t>
        </is>
      </c>
      <c r="B25" s="16">
        <f>'①入力データ'!D7/28</f>
        <v/>
      </c>
      <c r="C25" s="16">
        <f>'①入力データ'!D8/31</f>
        <v/>
      </c>
      <c r="D25" s="16">
        <f>'①入力データ'!D9/30</f>
        <v/>
      </c>
      <c r="E25" s="16">
        <f>'①入力データ'!D10/31</f>
        <v/>
      </c>
      <c r="F25" s="16">
        <f>'①入力データ'!D11/30</f>
        <v/>
      </c>
      <c r="G25" s="16">
        <f>'①入力データ'!D12/31</f>
        <v/>
      </c>
      <c r="H25" s="16">
        <f>'①入力データ'!D13/31</f>
        <v/>
      </c>
      <c r="I25" s="16">
        <f>'①入力データ'!D14/30</f>
        <v/>
      </c>
      <c r="J25" s="16">
        <f>'①入力データ'!D15/31</f>
        <v/>
      </c>
      <c r="K25" s="16">
        <f>'①入力データ'!D16/30</f>
        <v/>
      </c>
      <c r="L25" s="16">
        <f>'①入力データ'!D17/31</f>
        <v/>
      </c>
      <c r="M25" s="16">
        <f>'①入力データ'!D17/31</f>
        <v/>
      </c>
    </row>
    <row r="26" ht="17" customHeight="1">
      <c r="A26" s="17" t="inlineStr">
        <is>
          <t>DOS（日）</t>
        </is>
      </c>
      <c r="B26" s="19">
        <f>IF(B25&gt;0, B24/B25, 0)</f>
        <v/>
      </c>
      <c r="C26" s="19">
        <f>IF(C25&gt;0, C24/C25, 0)</f>
        <v/>
      </c>
      <c r="D26" s="19">
        <f>IF(D25&gt;0, D24/D25, 0)</f>
        <v/>
      </c>
      <c r="E26" s="19">
        <f>IF(E25&gt;0, E24/E25, 0)</f>
        <v/>
      </c>
      <c r="F26" s="19">
        <f>IF(F25&gt;0, F24/F25, 0)</f>
        <v/>
      </c>
      <c r="G26" s="19">
        <f>IF(G25&gt;0, G24/G25, 0)</f>
        <v/>
      </c>
      <c r="H26" s="19">
        <f>IF(H25&gt;0, H24/H25, 0)</f>
        <v/>
      </c>
      <c r="I26" s="19">
        <f>IF(I25&gt;0, I24/I25, 0)</f>
        <v/>
      </c>
      <c r="J26" s="19">
        <f>IF(J25&gt;0, J24/J25, 0)</f>
        <v/>
      </c>
      <c r="K26" s="19">
        <f>IF(K25&gt;0, K24/K25, 0)</f>
        <v/>
      </c>
      <c r="L26" s="19">
        <f>IF(L25&gt;0, L24/L25, 0)</f>
        <v/>
      </c>
      <c r="M26" s="19">
        <f>IF(M25&gt;0, M24/M25, 0)</f>
        <v/>
      </c>
    </row>
    <row r="29" ht="20" customHeight="1">
      <c r="A29" s="22" t="inlineStr">
        <is>
          <t xml:space="preserve">  合計（全チャネル）</t>
        </is>
      </c>
    </row>
    <row r="30" ht="17" customHeight="1">
      <c r="A30" s="23" t="inlineStr">
        <is>
          <t>合計 Sell Out 販売</t>
        </is>
      </c>
      <c r="B30" s="7">
        <f>B6+B14+B22</f>
        <v/>
      </c>
      <c r="C30" s="7">
        <f>C6+C14+C22</f>
        <v/>
      </c>
      <c r="D30" s="16">
        <f>D6+D14+D22</f>
        <v/>
      </c>
      <c r="E30" s="16">
        <f>E6+E14+E22</f>
        <v/>
      </c>
      <c r="F30" s="16">
        <f>F6+F14+F22</f>
        <v/>
      </c>
      <c r="G30" s="16">
        <f>G6+G14+G22</f>
        <v/>
      </c>
      <c r="H30" s="16">
        <f>H6+H14+H22</f>
        <v/>
      </c>
      <c r="I30" s="16">
        <f>I6+I14+I22</f>
        <v/>
      </c>
      <c r="J30" s="16">
        <f>J6+J14+J22</f>
        <v/>
      </c>
      <c r="K30" s="16">
        <f>K6+K14+K22</f>
        <v/>
      </c>
      <c r="L30" s="16">
        <f>L6+L14+L22</f>
        <v/>
      </c>
      <c r="M30" s="16">
        <f>M6+M14+M22</f>
        <v/>
      </c>
    </row>
    <row r="31" ht="17" customHeight="1">
      <c r="A31" s="23" t="inlineStr">
        <is>
          <t>合計 仕入入庫</t>
        </is>
      </c>
      <c r="B31" s="7">
        <f>B7+B15+B23</f>
        <v/>
      </c>
      <c r="C31" s="7">
        <f>C7+C15+C23</f>
        <v/>
      </c>
      <c r="D31" s="9">
        <f>D7+D15+D23</f>
        <v/>
      </c>
      <c r="E31" s="9">
        <f>E7+E15+E23</f>
        <v/>
      </c>
      <c r="F31" s="9">
        <f>F7+F15+F23</f>
        <v/>
      </c>
      <c r="G31" s="9">
        <f>G7+G15+G23</f>
        <v/>
      </c>
      <c r="H31" s="9">
        <f>H7+H15+H23</f>
        <v/>
      </c>
      <c r="I31" s="9">
        <f>I7+I15+I23</f>
        <v/>
      </c>
      <c r="J31" s="9">
        <f>J7+J15+J23</f>
        <v/>
      </c>
      <c r="K31" s="9">
        <f>K7+K15+K23</f>
        <v/>
      </c>
      <c r="L31" s="9">
        <f>L7+L15+L23</f>
        <v/>
      </c>
      <c r="M31" s="9">
        <f>M7+M15+M23</f>
        <v/>
      </c>
    </row>
    <row r="32" ht="17" customHeight="1">
      <c r="A32" s="24" t="inlineStr">
        <is>
          <t>合計 月末在庫</t>
        </is>
      </c>
      <c r="B32" s="25">
        <f>B8+B16+B24</f>
        <v/>
      </c>
      <c r="C32" s="25">
        <f>C8+C16+C24</f>
        <v/>
      </c>
      <c r="D32" s="25">
        <f>D8+D16+D24</f>
        <v/>
      </c>
      <c r="E32" s="25">
        <f>E8+E16+E24</f>
        <v/>
      </c>
      <c r="F32" s="25">
        <f>F8+F16+F24</f>
        <v/>
      </c>
      <c r="G32" s="25">
        <f>G8+G16+G24</f>
        <v/>
      </c>
      <c r="H32" s="25">
        <f>H8+H16+H24</f>
        <v/>
      </c>
      <c r="I32" s="25">
        <f>I8+I16+I24</f>
        <v/>
      </c>
      <c r="J32" s="25">
        <f>J8+J16+J24</f>
        <v/>
      </c>
      <c r="K32" s="25">
        <f>K8+K16+K24</f>
        <v/>
      </c>
      <c r="L32" s="25">
        <f>L8+L16+L24</f>
        <v/>
      </c>
      <c r="M32" s="25">
        <f>M8+M16+M24</f>
        <v/>
      </c>
    </row>
    <row r="33" ht="17" customHeight="1">
      <c r="A33" s="23" t="inlineStr">
        <is>
          <t>翌月 日別 合計Sell Out</t>
        </is>
      </c>
      <c r="B33" s="16">
        <f>'①入力データ'!E7/28</f>
        <v/>
      </c>
      <c r="C33" s="16">
        <f>'①入力データ'!E8/31</f>
        <v/>
      </c>
      <c r="D33" s="16">
        <f>'①入力データ'!E9/30</f>
        <v/>
      </c>
      <c r="E33" s="16">
        <f>'①入力データ'!E10/31</f>
        <v/>
      </c>
      <c r="F33" s="16">
        <f>'①入力データ'!E11/30</f>
        <v/>
      </c>
      <c r="G33" s="16">
        <f>'①入力データ'!E12/31</f>
        <v/>
      </c>
      <c r="H33" s="16">
        <f>'①入力データ'!E13/31</f>
        <v/>
      </c>
      <c r="I33" s="16">
        <f>'①入力データ'!E14/30</f>
        <v/>
      </c>
      <c r="J33" s="16">
        <f>'①入力データ'!E15/31</f>
        <v/>
      </c>
      <c r="K33" s="16">
        <f>'①入力データ'!E16/30</f>
        <v/>
      </c>
      <c r="L33" s="16">
        <f>'①入力データ'!E17/31</f>
        <v/>
      </c>
      <c r="M33" s="16">
        <f>'①入力データ'!E17/31</f>
        <v/>
      </c>
    </row>
    <row r="34" ht="17" customHeight="1">
      <c r="A34" s="24" t="inlineStr">
        <is>
          <t>合計 DOS（日）</t>
        </is>
      </c>
      <c r="B34" s="26">
        <f>IF(B33&gt;0,B32/B33,0)</f>
        <v/>
      </c>
      <c r="C34" s="26">
        <f>IF(C33&gt;0,C32/C33,0)</f>
        <v/>
      </c>
      <c r="D34" s="26">
        <f>IF(D33&gt;0,D32/D33,0)</f>
        <v/>
      </c>
      <c r="E34" s="26">
        <f>IF(E33&gt;0,E32/E33,0)</f>
        <v/>
      </c>
      <c r="F34" s="26">
        <f>IF(F33&gt;0,F32/F33,0)</f>
        <v/>
      </c>
      <c r="G34" s="26">
        <f>IF(G33&gt;0,G32/G33,0)</f>
        <v/>
      </c>
      <c r="H34" s="26">
        <f>IF(H33&gt;0,H32/H33,0)</f>
        <v/>
      </c>
      <c r="I34" s="26">
        <f>IF(I33&gt;0,I32/I33,0)</f>
        <v/>
      </c>
      <c r="J34" s="26">
        <f>IF(J33&gt;0,J32/J33,0)</f>
        <v/>
      </c>
      <c r="K34" s="26">
        <f>IF(K33&gt;0,K32/K33,0)</f>
        <v/>
      </c>
      <c r="L34" s="26">
        <f>IF(L33&gt;0,L32/L33,0)</f>
        <v/>
      </c>
      <c r="M34" s="26">
        <f>IF(M33&gt;0,M32/M33,0)</f>
        <v/>
      </c>
    </row>
  </sheetData>
  <mergeCells count="6">
    <mergeCell ref="A13:M13"/>
    <mergeCell ref="A1:M1"/>
    <mergeCell ref="A5:M5"/>
    <mergeCell ref="A21:M21"/>
    <mergeCell ref="A29:M29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サマリダッシュボード　―　月次在庫金額・DOS 推移</t>
        </is>
      </c>
    </row>
    <row r="3" ht="20" customHeight="1">
      <c r="A3" s="27" t="inlineStr">
        <is>
          <t>指標</t>
        </is>
      </c>
      <c r="B3" s="28" t="inlineStr">
        <is>
          <t>1月</t>
        </is>
      </c>
      <c r="C3" s="28" t="inlineStr">
        <is>
          <t>2月</t>
        </is>
      </c>
      <c r="D3" s="28" t="inlineStr">
        <is>
          <t>3月</t>
        </is>
      </c>
      <c r="E3" s="28" t="inlineStr">
        <is>
          <t>4月</t>
        </is>
      </c>
      <c r="F3" s="28" t="inlineStr">
        <is>
          <t>5月</t>
        </is>
      </c>
      <c r="G3" s="28" t="inlineStr">
        <is>
          <t>6月</t>
        </is>
      </c>
      <c r="H3" s="28" t="inlineStr">
        <is>
          <t>7月</t>
        </is>
      </c>
      <c r="I3" s="28" t="inlineStr">
        <is>
          <t>8月</t>
        </is>
      </c>
      <c r="J3" s="28" t="inlineStr">
        <is>
          <t>9月</t>
        </is>
      </c>
      <c r="K3" s="28" t="inlineStr">
        <is>
          <t>10月</t>
        </is>
      </c>
      <c r="L3" s="28" t="inlineStr">
        <is>
          <t>11月</t>
        </is>
      </c>
      <c r="M3" s="28" t="inlineStr">
        <is>
          <t>12月</t>
        </is>
      </c>
    </row>
    <row r="4" ht="17" customHeight="1">
      <c r="A4" s="29" t="inlineStr">
        <is>
          <t xml:space="preserve">  ─── Sell Out 販売 ───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</row>
    <row r="5" ht="17" customHeight="1">
      <c r="A5" s="15" t="inlineStr">
        <is>
          <t>CH1 店舗</t>
        </is>
      </c>
      <c r="B5" s="16">
        <f>'②予測計算'!B6</f>
        <v/>
      </c>
      <c r="C5" s="16">
        <f>'②予測計算'!C6</f>
        <v/>
      </c>
      <c r="D5" s="16">
        <f>'②予測計算'!D6</f>
        <v/>
      </c>
      <c r="E5" s="16">
        <f>'②予測計算'!E6</f>
        <v/>
      </c>
      <c r="F5" s="16">
        <f>'②予測計算'!F6</f>
        <v/>
      </c>
      <c r="G5" s="16">
        <f>'②予測計算'!G6</f>
        <v/>
      </c>
      <c r="H5" s="16">
        <f>'②予測計算'!H6</f>
        <v/>
      </c>
      <c r="I5" s="16">
        <f>'②予測計算'!I6</f>
        <v/>
      </c>
      <c r="J5" s="16">
        <f>'②予測計算'!J6</f>
        <v/>
      </c>
      <c r="K5" s="16">
        <f>'②予測計算'!K6</f>
        <v/>
      </c>
      <c r="L5" s="16">
        <f>'②予測計算'!L6</f>
        <v/>
      </c>
      <c r="M5" s="16">
        <f>'②予測計算'!M6</f>
        <v/>
      </c>
    </row>
    <row r="6" ht="17" customHeight="1">
      <c r="A6" s="15" t="inlineStr">
        <is>
          <t>CH2 ROBO</t>
        </is>
      </c>
      <c r="B6" s="16">
        <f>'②予測計算'!B14</f>
        <v/>
      </c>
      <c r="C6" s="16">
        <f>'②予測計算'!C14</f>
        <v/>
      </c>
      <c r="D6" s="16">
        <f>'②予測計算'!D14</f>
        <v/>
      </c>
      <c r="E6" s="16">
        <f>'②予測計算'!E14</f>
        <v/>
      </c>
      <c r="F6" s="16">
        <f>'②予測計算'!F14</f>
        <v/>
      </c>
      <c r="G6" s="16">
        <f>'②予測計算'!G14</f>
        <v/>
      </c>
      <c r="H6" s="16">
        <f>'②予測計算'!H14</f>
        <v/>
      </c>
      <c r="I6" s="16">
        <f>'②予測計算'!I14</f>
        <v/>
      </c>
      <c r="J6" s="16">
        <f>'②予測計算'!J14</f>
        <v/>
      </c>
      <c r="K6" s="16">
        <f>'②予測計算'!K14</f>
        <v/>
      </c>
      <c r="L6" s="16">
        <f>'②予測計算'!L14</f>
        <v/>
      </c>
      <c r="M6" s="16">
        <f>'②予測計算'!M14</f>
        <v/>
      </c>
    </row>
    <row r="7" ht="17" customHeight="1">
      <c r="A7" s="15" t="inlineStr">
        <is>
          <t>CH3 B2B</t>
        </is>
      </c>
      <c r="B7" s="16">
        <f>'②予測計算'!B22</f>
        <v/>
      </c>
      <c r="C7" s="16">
        <f>'②予測計算'!C22</f>
        <v/>
      </c>
      <c r="D7" s="16">
        <f>'②予測計算'!D22</f>
        <v/>
      </c>
      <c r="E7" s="16">
        <f>'②予測計算'!E22</f>
        <v/>
      </c>
      <c r="F7" s="16">
        <f>'②予測計算'!F22</f>
        <v/>
      </c>
      <c r="G7" s="16">
        <f>'②予測計算'!G22</f>
        <v/>
      </c>
      <c r="H7" s="16">
        <f>'②予測計算'!H22</f>
        <v/>
      </c>
      <c r="I7" s="16">
        <f>'②予測計算'!I22</f>
        <v/>
      </c>
      <c r="J7" s="16">
        <f>'②予測計算'!J22</f>
        <v/>
      </c>
      <c r="K7" s="16">
        <f>'②予測計算'!K22</f>
        <v/>
      </c>
      <c r="L7" s="16">
        <f>'②予測計算'!L22</f>
        <v/>
      </c>
      <c r="M7" s="16">
        <f>'②予測計算'!M22</f>
        <v/>
      </c>
    </row>
    <row r="8" ht="17" customHeight="1">
      <c r="A8" s="15" t="inlineStr">
        <is>
          <t>合計 Sell Out</t>
        </is>
      </c>
      <c r="B8" s="31">
        <f>'②予測計算'!B30</f>
        <v/>
      </c>
      <c r="C8" s="31">
        <f>'②予測計算'!C30</f>
        <v/>
      </c>
      <c r="D8" s="31">
        <f>'②予測計算'!D30</f>
        <v/>
      </c>
      <c r="E8" s="31">
        <f>'②予測計算'!E30</f>
        <v/>
      </c>
      <c r="F8" s="31">
        <f>'②予測計算'!F30</f>
        <v/>
      </c>
      <c r="G8" s="31">
        <f>'②予測計算'!G30</f>
        <v/>
      </c>
      <c r="H8" s="31">
        <f>'②予測計算'!H30</f>
        <v/>
      </c>
      <c r="I8" s="31">
        <f>'②予測計算'!I30</f>
        <v/>
      </c>
      <c r="J8" s="31">
        <f>'②予測計算'!J30</f>
        <v/>
      </c>
      <c r="K8" s="31">
        <f>'②予測計算'!K30</f>
        <v/>
      </c>
      <c r="L8" s="31">
        <f>'②予測計算'!L30</f>
        <v/>
      </c>
      <c r="M8" s="31">
        <f>'②予測計算'!M30</f>
        <v/>
      </c>
    </row>
    <row r="9" ht="17" customHeight="1">
      <c r="A9" s="29" t="inlineStr">
        <is>
          <t xml:space="preserve">  ─── 月末在庫金額 ───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</row>
    <row r="10" ht="17" customHeight="1">
      <c r="A10" s="15" t="inlineStr">
        <is>
          <t>CH1 店舗</t>
        </is>
      </c>
      <c r="B10" s="32">
        <f>'②予測計算'!B8</f>
        <v/>
      </c>
      <c r="C10" s="32">
        <f>'②予測計算'!C8</f>
        <v/>
      </c>
      <c r="D10" s="32">
        <f>'②予測計算'!D8</f>
        <v/>
      </c>
      <c r="E10" s="32">
        <f>'②予測計算'!E8</f>
        <v/>
      </c>
      <c r="F10" s="32">
        <f>'②予測計算'!F8</f>
        <v/>
      </c>
      <c r="G10" s="32">
        <f>'②予測計算'!G8</f>
        <v/>
      </c>
      <c r="H10" s="32">
        <f>'②予測計算'!H8</f>
        <v/>
      </c>
      <c r="I10" s="32">
        <f>'②予測計算'!I8</f>
        <v/>
      </c>
      <c r="J10" s="32">
        <f>'②予測計算'!J8</f>
        <v/>
      </c>
      <c r="K10" s="32">
        <f>'②予測計算'!K8</f>
        <v/>
      </c>
      <c r="L10" s="32">
        <f>'②予測計算'!L8</f>
        <v/>
      </c>
      <c r="M10" s="32">
        <f>'②予測計算'!M8</f>
        <v/>
      </c>
    </row>
    <row r="11" ht="17" customHeight="1">
      <c r="A11" s="15" t="inlineStr">
        <is>
          <t>CH2 ROBO</t>
        </is>
      </c>
      <c r="B11" s="32">
        <f>'②予測計算'!B16</f>
        <v/>
      </c>
      <c r="C11" s="32">
        <f>'②予測計算'!C16</f>
        <v/>
      </c>
      <c r="D11" s="32">
        <f>'②予測計算'!D16</f>
        <v/>
      </c>
      <c r="E11" s="32">
        <f>'②予測計算'!E16</f>
        <v/>
      </c>
      <c r="F11" s="32">
        <f>'②予測計算'!F16</f>
        <v/>
      </c>
      <c r="G11" s="32">
        <f>'②予測計算'!G16</f>
        <v/>
      </c>
      <c r="H11" s="32">
        <f>'②予測計算'!H16</f>
        <v/>
      </c>
      <c r="I11" s="32">
        <f>'②予測計算'!I16</f>
        <v/>
      </c>
      <c r="J11" s="32">
        <f>'②予測計算'!J16</f>
        <v/>
      </c>
      <c r="K11" s="32">
        <f>'②予測計算'!K16</f>
        <v/>
      </c>
      <c r="L11" s="32">
        <f>'②予測計算'!L16</f>
        <v/>
      </c>
      <c r="M11" s="32">
        <f>'②予測計算'!M16</f>
        <v/>
      </c>
    </row>
    <row r="12" ht="17" customHeight="1">
      <c r="A12" s="15" t="inlineStr">
        <is>
          <t>CH3 B2B</t>
        </is>
      </c>
      <c r="B12" s="32">
        <f>'②予測計算'!B24</f>
        <v/>
      </c>
      <c r="C12" s="32">
        <f>'②予測計算'!C24</f>
        <v/>
      </c>
      <c r="D12" s="32">
        <f>'②予測計算'!D24</f>
        <v/>
      </c>
      <c r="E12" s="32">
        <f>'②予測計算'!E24</f>
        <v/>
      </c>
      <c r="F12" s="32">
        <f>'②予測計算'!F24</f>
        <v/>
      </c>
      <c r="G12" s="32">
        <f>'②予測計算'!G24</f>
        <v/>
      </c>
      <c r="H12" s="32">
        <f>'②予測計算'!H24</f>
        <v/>
      </c>
      <c r="I12" s="32">
        <f>'②予測計算'!I24</f>
        <v/>
      </c>
      <c r="J12" s="32">
        <f>'②予測計算'!J24</f>
        <v/>
      </c>
      <c r="K12" s="32">
        <f>'②予測計算'!K24</f>
        <v/>
      </c>
      <c r="L12" s="32">
        <f>'②予測計算'!L24</f>
        <v/>
      </c>
      <c r="M12" s="32">
        <f>'②予測計算'!M24</f>
        <v/>
      </c>
    </row>
    <row r="13" ht="17" customHeight="1">
      <c r="A13" s="15" t="inlineStr">
        <is>
          <t>合計 在庫</t>
        </is>
      </c>
      <c r="B13" s="33">
        <f>'②予測計算'!B32</f>
        <v/>
      </c>
      <c r="C13" s="33">
        <f>'②予測計算'!C32</f>
        <v/>
      </c>
      <c r="D13" s="33">
        <f>'②予測計算'!D32</f>
        <v/>
      </c>
      <c r="E13" s="33">
        <f>'②予測計算'!E32</f>
        <v/>
      </c>
      <c r="F13" s="33">
        <f>'②予測計算'!F32</f>
        <v/>
      </c>
      <c r="G13" s="33">
        <f>'②予測計算'!G32</f>
        <v/>
      </c>
      <c r="H13" s="33">
        <f>'②予測計算'!H32</f>
        <v/>
      </c>
      <c r="I13" s="33">
        <f>'②予測計算'!I32</f>
        <v/>
      </c>
      <c r="J13" s="33">
        <f>'②予測計算'!J32</f>
        <v/>
      </c>
      <c r="K13" s="33">
        <f>'②予測計算'!K32</f>
        <v/>
      </c>
      <c r="L13" s="33">
        <f>'②予測計算'!L32</f>
        <v/>
      </c>
      <c r="M13" s="33">
        <f>'②予測計算'!M32</f>
        <v/>
      </c>
    </row>
    <row r="14" ht="17" customHeight="1">
      <c r="A14" s="29" t="inlineStr">
        <is>
          <t xml:space="preserve">  ─── DOS（日）───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</row>
    <row r="15" ht="17" customHeight="1">
      <c r="A15" s="15" t="inlineStr">
        <is>
          <t>CH1 DOS</t>
        </is>
      </c>
      <c r="B15" s="34">
        <f>'②予測計算'!B10</f>
        <v/>
      </c>
      <c r="C15" s="34">
        <f>'②予測計算'!C10</f>
        <v/>
      </c>
      <c r="D15" s="34">
        <f>'②予測計算'!D10</f>
        <v/>
      </c>
      <c r="E15" s="34">
        <f>'②予測計算'!E10</f>
        <v/>
      </c>
      <c r="F15" s="34">
        <f>'②予測計算'!F10</f>
        <v/>
      </c>
      <c r="G15" s="34">
        <f>'②予測計算'!G10</f>
        <v/>
      </c>
      <c r="H15" s="34">
        <f>'②予測計算'!H10</f>
        <v/>
      </c>
      <c r="I15" s="34">
        <f>'②予測計算'!I10</f>
        <v/>
      </c>
      <c r="J15" s="34">
        <f>'②予測計算'!J10</f>
        <v/>
      </c>
      <c r="K15" s="34">
        <f>'②予測計算'!K10</f>
        <v/>
      </c>
      <c r="L15" s="34">
        <f>'②予測計算'!L10</f>
        <v/>
      </c>
      <c r="M15" s="34">
        <f>'②予測計算'!M10</f>
        <v/>
      </c>
    </row>
    <row r="16" ht="17" customHeight="1">
      <c r="A16" s="15" t="inlineStr">
        <is>
          <t>CH2 DOS</t>
        </is>
      </c>
      <c r="B16" s="34">
        <f>'②予測計算'!B18</f>
        <v/>
      </c>
      <c r="C16" s="34">
        <f>'②予測計算'!C18</f>
        <v/>
      </c>
      <c r="D16" s="34">
        <f>'②予測計算'!D18</f>
        <v/>
      </c>
      <c r="E16" s="34">
        <f>'②予測計算'!E18</f>
        <v/>
      </c>
      <c r="F16" s="34">
        <f>'②予測計算'!F18</f>
        <v/>
      </c>
      <c r="G16" s="34">
        <f>'②予測計算'!G18</f>
        <v/>
      </c>
      <c r="H16" s="34">
        <f>'②予測計算'!H18</f>
        <v/>
      </c>
      <c r="I16" s="34">
        <f>'②予測計算'!I18</f>
        <v/>
      </c>
      <c r="J16" s="34">
        <f>'②予測計算'!J18</f>
        <v/>
      </c>
      <c r="K16" s="34">
        <f>'②予測計算'!K18</f>
        <v/>
      </c>
      <c r="L16" s="34">
        <f>'②予測計算'!L18</f>
        <v/>
      </c>
      <c r="M16" s="34">
        <f>'②予測計算'!M18</f>
        <v/>
      </c>
    </row>
    <row r="17" ht="17" customHeight="1">
      <c r="A17" s="15" t="inlineStr">
        <is>
          <t>CH3 DOS</t>
        </is>
      </c>
      <c r="B17" s="34">
        <f>'②予測計算'!B26</f>
        <v/>
      </c>
      <c r="C17" s="34">
        <f>'②予測計算'!C26</f>
        <v/>
      </c>
      <c r="D17" s="34">
        <f>'②予測計算'!D26</f>
        <v/>
      </c>
      <c r="E17" s="34">
        <f>'②予測計算'!E26</f>
        <v/>
      </c>
      <c r="F17" s="34">
        <f>'②予測計算'!F26</f>
        <v/>
      </c>
      <c r="G17" s="34">
        <f>'②予測計算'!G26</f>
        <v/>
      </c>
      <c r="H17" s="34">
        <f>'②予測計算'!H26</f>
        <v/>
      </c>
      <c r="I17" s="34">
        <f>'②予測計算'!I26</f>
        <v/>
      </c>
      <c r="J17" s="34">
        <f>'②予測計算'!J26</f>
        <v/>
      </c>
      <c r="K17" s="34">
        <f>'②予測計算'!K26</f>
        <v/>
      </c>
      <c r="L17" s="34">
        <f>'②予測計算'!L26</f>
        <v/>
      </c>
      <c r="M17" s="34">
        <f>'②予測計算'!M26</f>
        <v/>
      </c>
    </row>
    <row r="18" ht="17" customHeight="1">
      <c r="A18" s="15" t="inlineStr">
        <is>
          <t>合計 DOS</t>
        </is>
      </c>
      <c r="B18" s="26">
        <f>'②予測計算'!B34</f>
        <v/>
      </c>
      <c r="C18" s="26">
        <f>'②予測計算'!C34</f>
        <v/>
      </c>
      <c r="D18" s="26">
        <f>'②予測計算'!D34</f>
        <v/>
      </c>
      <c r="E18" s="26">
        <f>'②予測計算'!E34</f>
        <v/>
      </c>
      <c r="F18" s="26">
        <f>'②予測計算'!F34</f>
        <v/>
      </c>
      <c r="G18" s="26">
        <f>'②予測計算'!G34</f>
        <v/>
      </c>
      <c r="H18" s="26">
        <f>'②予測計算'!H34</f>
        <v/>
      </c>
      <c r="I18" s="26">
        <f>'②予測計算'!I34</f>
        <v/>
      </c>
      <c r="J18" s="26">
        <f>'②予測計算'!J34</f>
        <v/>
      </c>
      <c r="K18" s="26">
        <f>'②予測計算'!K34</f>
        <v/>
      </c>
      <c r="L18" s="26">
        <f>'②予測計算'!L34</f>
        <v/>
      </c>
      <c r="M18" s="26">
        <f>'②予測計算'!M34</f>
        <v/>
      </c>
    </row>
  </sheetData>
  <mergeCells count="4">
    <mergeCell ref="A4:M4"/>
    <mergeCell ref="A14:M14"/>
    <mergeCell ref="A1:M1"/>
    <mergeCell ref="A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2026-03-26T06:16:13Z</dcterms:created>
  <dcterms:modified xsi:type="dcterms:W3CDTF">2026-03-26T06:16:13Z</dcterms:modified>
</cp:coreProperties>
</file>