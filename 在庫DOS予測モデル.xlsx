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入力データ" sheetId="1" state="visible" r:id="rId1"/>
    <sheet name="②CH1_店舗" sheetId="2" state="visible" r:id="rId2"/>
    <sheet name="③CH2_ROBO" sheetId="3" state="visible" r:id="rId3"/>
    <sheet name="④CH3_B2B" sheetId="4" state="visible" r:id="rId4"/>
    <sheet name="⑤サマリ（合計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  <sz val="10"/>
    </font>
    <font>
      <b val="1"/>
      <sz val="9"/>
    </font>
    <font>
      <color rgb="00888888"/>
      <sz val="9"/>
    </font>
    <font>
      <b val="1"/>
      <color rgb="00FFFFFF"/>
      <sz val="12"/>
    </font>
    <font>
      <i val="1"/>
      <sz val="8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4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 vertical="center"/>
    </xf>
    <xf numFmtId="0" fontId="4" fillId="0" borderId="1" pivotButton="0" quotePrefix="0" xfId="0"/>
    <xf numFmtId="0" fontId="5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3" fontId="8" fillId="6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center"/>
    </xf>
    <xf numFmtId="0" fontId="6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0" fontId="6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3" fontId="8" fillId="6" borderId="1" pivotButton="0" quotePrefix="0" xfId="0"/>
    <xf numFmtId="164" fontId="0" fillId="7" borderId="1" applyAlignment="1" pivotButton="0" quotePrefix="0" xfId="0">
      <alignment horizontal="center"/>
    </xf>
    <xf numFmtId="164" fontId="9" fillId="10" borderId="1" applyAlignment="1" pivotButton="0" quotePrefix="0" xfId="0">
      <alignment horizontal="center"/>
    </xf>
    <xf numFmtId="0" fontId="9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在庫金額・DOS予測モデル  ―  入力データシート</t>
        </is>
      </c>
    </row>
    <row r="2" ht="16" customHeight="1">
      <c r="A2" s="2" t="inlineStr">
        <is>
          <t>🟡 黄色セル = 手入力  |  🟢 緑色セル = 自動計算（触らない）  |  ※1月・2月は実績値を入力</t>
        </is>
      </c>
    </row>
    <row r="4" ht="20" customHeight="1">
      <c r="A4" s="3" t="inlineStr">
        <is>
          <t>【販売データ】　単位：円</t>
        </is>
      </c>
    </row>
    <row r="5" ht="18" customHeight="1">
      <c r="A5" s="4" t="inlineStr">
        <is>
          <t>月</t>
        </is>
      </c>
      <c r="B5" s="4" t="inlineStr">
        <is>
          <t>CH1 店舗</t>
        </is>
      </c>
      <c r="C5" s="4" t="inlineStr">
        <is>
          <t>CH2 ROBO</t>
        </is>
      </c>
      <c r="D5" s="4" t="inlineStr">
        <is>
          <t>CH3 B2B</t>
        </is>
      </c>
      <c r="E5" s="4" t="inlineStr">
        <is>
          <t>合計</t>
        </is>
      </c>
    </row>
    <row r="6">
      <c r="A6" s="5" t="inlineStr">
        <is>
          <t>1月（実績）</t>
        </is>
      </c>
      <c r="B6" s="6" t="n">
        <v>0</v>
      </c>
      <c r="C6" s="6" t="n">
        <v>0</v>
      </c>
      <c r="D6" s="6" t="n">
        <v>0</v>
      </c>
      <c r="E6" s="7">
        <f>B6+C6+D6</f>
        <v/>
      </c>
    </row>
    <row r="7">
      <c r="A7" s="5" t="inlineStr">
        <is>
          <t>2月（実績）</t>
        </is>
      </c>
      <c r="B7" s="6" t="n">
        <v>0</v>
      </c>
      <c r="C7" s="6" t="n">
        <v>0</v>
      </c>
      <c r="D7" s="6" t="n">
        <v>0</v>
      </c>
      <c r="E7" s="7">
        <f>B7+C7+D7</f>
        <v/>
      </c>
    </row>
    <row r="8">
      <c r="A8" s="5" t="inlineStr">
        <is>
          <t>3月（目標）</t>
        </is>
      </c>
      <c r="B8" s="6" t="n">
        <v>0</v>
      </c>
      <c r="C8" s="6" t="n">
        <v>0</v>
      </c>
      <c r="D8" s="6" t="n">
        <v>0</v>
      </c>
      <c r="E8" s="7">
        <f>B8+C8+D8</f>
        <v/>
      </c>
    </row>
    <row r="9">
      <c r="A9" s="5" t="inlineStr">
        <is>
          <t>4月（目標）</t>
        </is>
      </c>
      <c r="B9" s="6" t="n">
        <v>0</v>
      </c>
      <c r="C9" s="6" t="n">
        <v>0</v>
      </c>
      <c r="D9" s="6" t="n">
        <v>0</v>
      </c>
      <c r="E9" s="7">
        <f>B9+C9+D9</f>
        <v/>
      </c>
    </row>
    <row r="10">
      <c r="A10" s="5" t="inlineStr">
        <is>
          <t>5月（目標）</t>
        </is>
      </c>
      <c r="B10" s="6" t="n">
        <v>0</v>
      </c>
      <c r="C10" s="6" t="n">
        <v>0</v>
      </c>
      <c r="D10" s="6" t="n">
        <v>0</v>
      </c>
      <c r="E10" s="7">
        <f>B10+C10+D10</f>
        <v/>
      </c>
    </row>
    <row r="11">
      <c r="A11" s="5" t="inlineStr">
        <is>
          <t>6月（目標）</t>
        </is>
      </c>
      <c r="B11" s="6" t="n">
        <v>0</v>
      </c>
      <c r="C11" s="6" t="n">
        <v>0</v>
      </c>
      <c r="D11" s="6" t="n">
        <v>0</v>
      </c>
      <c r="E11" s="7">
        <f>B11+C11+D11</f>
        <v/>
      </c>
    </row>
    <row r="12">
      <c r="A12" s="5" t="inlineStr">
        <is>
          <t>7月（目標）</t>
        </is>
      </c>
      <c r="B12" s="6" t="n">
        <v>0</v>
      </c>
      <c r="C12" s="6" t="n">
        <v>0</v>
      </c>
      <c r="D12" s="6" t="n">
        <v>0</v>
      </c>
      <c r="E12" s="7">
        <f>B12+C12+D12</f>
        <v/>
      </c>
    </row>
    <row r="13">
      <c r="A13" s="5" t="inlineStr">
        <is>
          <t>8月（目標）</t>
        </is>
      </c>
      <c r="B13" s="6" t="n">
        <v>0</v>
      </c>
      <c r="C13" s="6" t="n">
        <v>0</v>
      </c>
      <c r="D13" s="6" t="n">
        <v>0</v>
      </c>
      <c r="E13" s="7">
        <f>B13+C13+D13</f>
        <v/>
      </c>
    </row>
    <row r="14">
      <c r="A14" s="5" t="inlineStr">
        <is>
          <t>9月（目標）</t>
        </is>
      </c>
      <c r="B14" s="6" t="n">
        <v>0</v>
      </c>
      <c r="C14" s="6" t="n">
        <v>0</v>
      </c>
      <c r="D14" s="6" t="n">
        <v>0</v>
      </c>
      <c r="E14" s="7">
        <f>B14+C14+D14</f>
        <v/>
      </c>
    </row>
    <row r="15">
      <c r="A15" s="5" t="inlineStr">
        <is>
          <t>10月（目標）</t>
        </is>
      </c>
      <c r="B15" s="6" t="n">
        <v>0</v>
      </c>
      <c r="C15" s="6" t="n">
        <v>0</v>
      </c>
      <c r="D15" s="6" t="n">
        <v>0</v>
      </c>
      <c r="E15" s="7">
        <f>B15+C15+D15</f>
        <v/>
      </c>
    </row>
    <row r="16">
      <c r="A16" s="5" t="inlineStr">
        <is>
          <t>11月（目標）</t>
        </is>
      </c>
      <c r="B16" s="6" t="n">
        <v>0</v>
      </c>
      <c r="C16" s="6" t="n">
        <v>0</v>
      </c>
      <c r="D16" s="6" t="n">
        <v>0</v>
      </c>
      <c r="E16" s="7">
        <f>B16+C16+D16</f>
        <v/>
      </c>
    </row>
    <row r="17">
      <c r="A17" s="5" t="inlineStr">
        <is>
          <t>12月（目標）</t>
        </is>
      </c>
      <c r="B17" s="6" t="n">
        <v>0</v>
      </c>
      <c r="C17" s="6" t="n">
        <v>0</v>
      </c>
      <c r="D17" s="6" t="n">
        <v>0</v>
      </c>
      <c r="E17" s="7">
        <f>B17+C17+D17</f>
        <v/>
      </c>
    </row>
    <row r="19" ht="20" customHeight="1">
      <c r="A19" s="3" t="inlineStr">
        <is>
          <t>【仕入計画】　単位：円</t>
        </is>
      </c>
    </row>
    <row r="20" ht="18" customHeight="1">
      <c r="A20" s="4" t="inlineStr">
        <is>
          <t>月</t>
        </is>
      </c>
      <c r="B20" s="4" t="inlineStr">
        <is>
          <t>CH1 店舗</t>
        </is>
      </c>
      <c r="C20" s="4" t="inlineStr">
        <is>
          <t>CH2 ROBO</t>
        </is>
      </c>
      <c r="D20" s="4" t="inlineStr">
        <is>
          <t>CH3 B2B</t>
        </is>
      </c>
      <c r="E20" s="4" t="inlineStr">
        <is>
          <t>合計</t>
        </is>
      </c>
    </row>
    <row r="21">
      <c r="A21" s="5" t="inlineStr">
        <is>
          <t>1月</t>
        </is>
      </c>
      <c r="B21" s="6" t="n">
        <v>0</v>
      </c>
      <c r="C21" s="6" t="n">
        <v>0</v>
      </c>
      <c r="D21" s="6" t="n">
        <v>0</v>
      </c>
      <c r="E21" s="7">
        <f>B21+C21+D21</f>
        <v/>
      </c>
    </row>
    <row r="22">
      <c r="A22" s="5" t="inlineStr">
        <is>
          <t>2月</t>
        </is>
      </c>
      <c r="B22" s="6" t="n">
        <v>0</v>
      </c>
      <c r="C22" s="6" t="n">
        <v>0</v>
      </c>
      <c r="D22" s="6" t="n">
        <v>0</v>
      </c>
      <c r="E22" s="7">
        <f>B22+C22+D22</f>
        <v/>
      </c>
    </row>
    <row r="23">
      <c r="A23" s="5" t="inlineStr">
        <is>
          <t>3月</t>
        </is>
      </c>
      <c r="B23" s="6" t="n">
        <v>0</v>
      </c>
      <c r="C23" s="6" t="n">
        <v>0</v>
      </c>
      <c r="D23" s="6" t="n">
        <v>0</v>
      </c>
      <c r="E23" s="7">
        <f>B23+C23+D23</f>
        <v/>
      </c>
    </row>
    <row r="24">
      <c r="A24" s="5" t="inlineStr">
        <is>
          <t>4月</t>
        </is>
      </c>
      <c r="B24" s="6" t="n">
        <v>0</v>
      </c>
      <c r="C24" s="6" t="n">
        <v>0</v>
      </c>
      <c r="D24" s="6" t="n">
        <v>0</v>
      </c>
      <c r="E24" s="7">
        <f>B24+C24+D24</f>
        <v/>
      </c>
    </row>
    <row r="25">
      <c r="A25" s="5" t="inlineStr">
        <is>
          <t>5月</t>
        </is>
      </c>
      <c r="B25" s="6" t="n">
        <v>0</v>
      </c>
      <c r="C25" s="6" t="n">
        <v>0</v>
      </c>
      <c r="D25" s="6" t="n">
        <v>0</v>
      </c>
      <c r="E25" s="7">
        <f>B25+C25+D25</f>
        <v/>
      </c>
    </row>
    <row r="26">
      <c r="A26" s="5" t="inlineStr">
        <is>
          <t>6月</t>
        </is>
      </c>
      <c r="B26" s="6" t="n">
        <v>0</v>
      </c>
      <c r="C26" s="6" t="n">
        <v>0</v>
      </c>
      <c r="D26" s="6" t="n">
        <v>0</v>
      </c>
      <c r="E26" s="7">
        <f>B26+C26+D26</f>
        <v/>
      </c>
    </row>
    <row r="27">
      <c r="A27" s="5" t="inlineStr">
        <is>
          <t>7月</t>
        </is>
      </c>
      <c r="B27" s="6" t="n">
        <v>0</v>
      </c>
      <c r="C27" s="6" t="n">
        <v>0</v>
      </c>
      <c r="D27" s="6" t="n">
        <v>0</v>
      </c>
      <c r="E27" s="7">
        <f>B27+C27+D27</f>
        <v/>
      </c>
    </row>
    <row r="28">
      <c r="A28" s="5" t="inlineStr">
        <is>
          <t>8月</t>
        </is>
      </c>
      <c r="B28" s="6" t="n">
        <v>0</v>
      </c>
      <c r="C28" s="6" t="n">
        <v>0</v>
      </c>
      <c r="D28" s="6" t="n">
        <v>0</v>
      </c>
      <c r="E28" s="7">
        <f>B28+C28+D28</f>
        <v/>
      </c>
    </row>
    <row r="29">
      <c r="A29" s="5" t="inlineStr">
        <is>
          <t>9月</t>
        </is>
      </c>
      <c r="B29" s="6" t="n">
        <v>0</v>
      </c>
      <c r="C29" s="6" t="n">
        <v>0</v>
      </c>
      <c r="D29" s="6" t="n">
        <v>0</v>
      </c>
      <c r="E29" s="7">
        <f>B29+C29+D29</f>
        <v/>
      </c>
    </row>
    <row r="30">
      <c r="A30" s="5" t="inlineStr">
        <is>
          <t>10月</t>
        </is>
      </c>
      <c r="B30" s="6" t="n">
        <v>0</v>
      </c>
      <c r="C30" s="6" t="n">
        <v>0</v>
      </c>
      <c r="D30" s="6" t="n">
        <v>0</v>
      </c>
      <c r="E30" s="7">
        <f>B30+C30+D30</f>
        <v/>
      </c>
    </row>
    <row r="31">
      <c r="A31" s="5" t="inlineStr">
        <is>
          <t>11月</t>
        </is>
      </c>
      <c r="B31" s="6" t="n">
        <v>0</v>
      </c>
      <c r="C31" s="6" t="n">
        <v>0</v>
      </c>
      <c r="D31" s="6" t="n">
        <v>0</v>
      </c>
      <c r="E31" s="7">
        <f>B31+C31+D31</f>
        <v/>
      </c>
    </row>
    <row r="32">
      <c r="A32" s="5" t="inlineStr">
        <is>
          <t>12月</t>
        </is>
      </c>
      <c r="B32" s="6" t="n">
        <v>0</v>
      </c>
      <c r="C32" s="6" t="n">
        <v>0</v>
      </c>
      <c r="D32" s="6" t="n">
        <v>0</v>
      </c>
      <c r="E32" s="7">
        <f>B32+C32+D32</f>
        <v/>
      </c>
    </row>
    <row r="34" ht="20" customHeight="1">
      <c r="A34" s="3" t="inlineStr">
        <is>
          <t>【店舗数・ROBO台数】</t>
        </is>
      </c>
    </row>
    <row r="35" ht="30" customHeight="1">
      <c r="A35" s="4" t="inlineStr">
        <is>
          <t>月</t>
        </is>
      </c>
      <c r="B35" s="4" t="inlineStr">
        <is>
          <t>店舗
月初数</t>
        </is>
      </c>
      <c r="C35" s="4" t="inlineStr">
        <is>
          <t>新規
OPEN</t>
        </is>
      </c>
      <c r="D35" s="4" t="inlineStr">
        <is>
          <t>閉店
CLOSE</t>
        </is>
      </c>
      <c r="E35" s="4" t="inlineStr">
        <is>
          <t>店舗
月末数</t>
        </is>
      </c>
      <c r="G35" s="4" t="inlineStr">
        <is>
          <t>月</t>
        </is>
      </c>
      <c r="H35" s="4" t="inlineStr">
        <is>
          <t>ROBO
月初台数</t>
        </is>
      </c>
      <c r="I35" s="4" t="inlineStr">
        <is>
          <t>新規
追加台数</t>
        </is>
      </c>
      <c r="J35" s="4" t="inlineStr">
        <is>
          <t>ROBO
月末台数</t>
        </is>
      </c>
    </row>
    <row r="36">
      <c r="A36" s="5" t="inlineStr">
        <is>
          <t>1月</t>
        </is>
      </c>
      <c r="B36" s="8" t="n">
        <v>0</v>
      </c>
      <c r="C36" s="8" t="n">
        <v>0</v>
      </c>
      <c r="D36" s="8" t="n">
        <v>0</v>
      </c>
      <c r="E36" s="9">
        <f>B36+C36-D36</f>
        <v/>
      </c>
      <c r="G36" s="5" t="inlineStr">
        <is>
          <t>1月</t>
        </is>
      </c>
      <c r="H36" s="8" t="n">
        <v>0</v>
      </c>
      <c r="I36" s="8" t="n">
        <v>0</v>
      </c>
      <c r="J36" s="9">
        <f>H36+I36</f>
        <v/>
      </c>
    </row>
    <row r="37">
      <c r="A37" s="5" t="inlineStr">
        <is>
          <t>2月</t>
        </is>
      </c>
      <c r="B37" s="8" t="n">
        <v>0</v>
      </c>
      <c r="C37" s="8" t="n">
        <v>0</v>
      </c>
      <c r="D37" s="8" t="n">
        <v>0</v>
      </c>
      <c r="E37" s="9">
        <f>B37+C37-D37</f>
        <v/>
      </c>
      <c r="G37" s="5" t="inlineStr">
        <is>
          <t>2月</t>
        </is>
      </c>
      <c r="H37" s="8" t="n">
        <v>0</v>
      </c>
      <c r="I37" s="8" t="n">
        <v>0</v>
      </c>
      <c r="J37" s="9">
        <f>H37+I37</f>
        <v/>
      </c>
    </row>
    <row r="38">
      <c r="A38" s="5" t="inlineStr">
        <is>
          <t>3月</t>
        </is>
      </c>
      <c r="B38" s="8" t="n">
        <v>0</v>
      </c>
      <c r="C38" s="8" t="n">
        <v>0</v>
      </c>
      <c r="D38" s="8" t="n">
        <v>0</v>
      </c>
      <c r="E38" s="9">
        <f>B38+C38-D38</f>
        <v/>
      </c>
      <c r="G38" s="5" t="inlineStr">
        <is>
          <t>3月</t>
        </is>
      </c>
      <c r="H38" s="8" t="n">
        <v>0</v>
      </c>
      <c r="I38" s="8" t="n">
        <v>0</v>
      </c>
      <c r="J38" s="9">
        <f>H38+I38</f>
        <v/>
      </c>
    </row>
    <row r="39">
      <c r="A39" s="5" t="inlineStr">
        <is>
          <t>4月</t>
        </is>
      </c>
      <c r="B39" s="8" t="n">
        <v>0</v>
      </c>
      <c r="C39" s="8" t="n">
        <v>0</v>
      </c>
      <c r="D39" s="8" t="n">
        <v>0</v>
      </c>
      <c r="E39" s="9">
        <f>B39+C39-D39</f>
        <v/>
      </c>
      <c r="G39" s="5" t="inlineStr">
        <is>
          <t>4月</t>
        </is>
      </c>
      <c r="H39" s="8" t="n">
        <v>0</v>
      </c>
      <c r="I39" s="8" t="n">
        <v>0</v>
      </c>
      <c r="J39" s="9">
        <f>H39+I39</f>
        <v/>
      </c>
    </row>
    <row r="40">
      <c r="A40" s="5" t="inlineStr">
        <is>
          <t>5月</t>
        </is>
      </c>
      <c r="B40" s="8" t="n">
        <v>0</v>
      </c>
      <c r="C40" s="8" t="n">
        <v>0</v>
      </c>
      <c r="D40" s="8" t="n">
        <v>0</v>
      </c>
      <c r="E40" s="9">
        <f>B40+C40-D40</f>
        <v/>
      </c>
      <c r="G40" s="5" t="inlineStr">
        <is>
          <t>5月</t>
        </is>
      </c>
      <c r="H40" s="8" t="n">
        <v>0</v>
      </c>
      <c r="I40" s="8" t="n">
        <v>0</v>
      </c>
      <c r="J40" s="9">
        <f>H40+I40</f>
        <v/>
      </c>
    </row>
    <row r="41">
      <c r="A41" s="5" t="inlineStr">
        <is>
          <t>6月</t>
        </is>
      </c>
      <c r="B41" s="8" t="n">
        <v>0</v>
      </c>
      <c r="C41" s="8" t="n">
        <v>0</v>
      </c>
      <c r="D41" s="8" t="n">
        <v>0</v>
      </c>
      <c r="E41" s="9">
        <f>B41+C41-D41</f>
        <v/>
      </c>
      <c r="G41" s="5" t="inlineStr">
        <is>
          <t>6月</t>
        </is>
      </c>
      <c r="H41" s="8" t="n">
        <v>0</v>
      </c>
      <c r="I41" s="8" t="n">
        <v>0</v>
      </c>
      <c r="J41" s="9">
        <f>H41+I41</f>
        <v/>
      </c>
    </row>
    <row r="42">
      <c r="A42" s="5" t="inlineStr">
        <is>
          <t>7月</t>
        </is>
      </c>
      <c r="B42" s="8" t="n">
        <v>0</v>
      </c>
      <c r="C42" s="8" t="n">
        <v>0</v>
      </c>
      <c r="D42" s="8" t="n">
        <v>0</v>
      </c>
      <c r="E42" s="9">
        <f>B42+C42-D42</f>
        <v/>
      </c>
      <c r="G42" s="5" t="inlineStr">
        <is>
          <t>7月</t>
        </is>
      </c>
      <c r="H42" s="8" t="n">
        <v>0</v>
      </c>
      <c r="I42" s="8" t="n">
        <v>0</v>
      </c>
      <c r="J42" s="9">
        <f>H42+I42</f>
        <v/>
      </c>
    </row>
    <row r="43">
      <c r="A43" s="5" t="inlineStr">
        <is>
          <t>8月</t>
        </is>
      </c>
      <c r="B43" s="8" t="n">
        <v>0</v>
      </c>
      <c r="C43" s="8" t="n">
        <v>0</v>
      </c>
      <c r="D43" s="8" t="n">
        <v>0</v>
      </c>
      <c r="E43" s="9">
        <f>B43+C43-D43</f>
        <v/>
      </c>
      <c r="G43" s="5" t="inlineStr">
        <is>
          <t>8月</t>
        </is>
      </c>
      <c r="H43" s="8" t="n">
        <v>0</v>
      </c>
      <c r="I43" s="8" t="n">
        <v>0</v>
      </c>
      <c r="J43" s="9">
        <f>H43+I43</f>
        <v/>
      </c>
    </row>
    <row r="44">
      <c r="A44" s="5" t="inlineStr">
        <is>
          <t>9月</t>
        </is>
      </c>
      <c r="B44" s="8" t="n">
        <v>0</v>
      </c>
      <c r="C44" s="8" t="n">
        <v>0</v>
      </c>
      <c r="D44" s="8" t="n">
        <v>0</v>
      </c>
      <c r="E44" s="9">
        <f>B44+C44-D44</f>
        <v/>
      </c>
      <c r="G44" s="5" t="inlineStr">
        <is>
          <t>9月</t>
        </is>
      </c>
      <c r="H44" s="8" t="n">
        <v>0</v>
      </c>
      <c r="I44" s="8" t="n">
        <v>0</v>
      </c>
      <c r="J44" s="9">
        <f>H44+I44</f>
        <v/>
      </c>
    </row>
    <row r="45">
      <c r="A45" s="5" t="inlineStr">
        <is>
          <t>10月</t>
        </is>
      </c>
      <c r="B45" s="8" t="n">
        <v>0</v>
      </c>
      <c r="C45" s="8" t="n">
        <v>0</v>
      </c>
      <c r="D45" s="8" t="n">
        <v>0</v>
      </c>
      <c r="E45" s="9">
        <f>B45+C45-D45</f>
        <v/>
      </c>
      <c r="G45" s="5" t="inlineStr">
        <is>
          <t>10月</t>
        </is>
      </c>
      <c r="H45" s="8" t="n">
        <v>0</v>
      </c>
      <c r="I45" s="8" t="n">
        <v>0</v>
      </c>
      <c r="J45" s="9">
        <f>H45+I45</f>
        <v/>
      </c>
    </row>
    <row r="46">
      <c r="A46" s="5" t="inlineStr">
        <is>
          <t>11月</t>
        </is>
      </c>
      <c r="B46" s="8" t="n">
        <v>0</v>
      </c>
      <c r="C46" s="8" t="n">
        <v>0</v>
      </c>
      <c r="D46" s="8" t="n">
        <v>0</v>
      </c>
      <c r="E46" s="9">
        <f>B46+C46-D46</f>
        <v/>
      </c>
      <c r="G46" s="5" t="inlineStr">
        <is>
          <t>11月</t>
        </is>
      </c>
      <c r="H46" s="8" t="n">
        <v>0</v>
      </c>
      <c r="I46" s="8" t="n">
        <v>0</v>
      </c>
      <c r="J46" s="9">
        <f>H46+I46</f>
        <v/>
      </c>
    </row>
    <row r="47">
      <c r="A47" s="5" t="inlineStr">
        <is>
          <t>12月</t>
        </is>
      </c>
      <c r="B47" s="8" t="n">
        <v>0</v>
      </c>
      <c r="C47" s="8" t="n">
        <v>0</v>
      </c>
      <c r="D47" s="8" t="n">
        <v>0</v>
      </c>
      <c r="E47" s="9">
        <f>B47+C47-D47</f>
        <v/>
      </c>
      <c r="G47" s="5" t="inlineStr">
        <is>
          <t>12月</t>
        </is>
      </c>
      <c r="H47" s="8" t="n">
        <v>0</v>
      </c>
      <c r="I47" s="8" t="n">
        <v>0</v>
      </c>
      <c r="J47" s="9">
        <f>H47+I47</f>
        <v/>
      </c>
    </row>
    <row r="49" ht="20" customHeight="1">
      <c r="A49" s="3" t="inlineStr">
        <is>
          <t>【パラメータ】　1月末データをもとに自動計算（変更可）</t>
        </is>
      </c>
    </row>
    <row r="50">
      <c r="A50" s="10" t="inlineStr">
        <is>
          <t>CH1 期末在庫(1月実績)</t>
        </is>
      </c>
      <c r="B50" s="6" t="n">
        <v>0</v>
      </c>
      <c r="C50" s="11" t="inlineStr">
        <is>
          <t>円</t>
        </is>
      </c>
    </row>
    <row r="51">
      <c r="A51" s="10" t="inlineStr">
        <is>
          <t>CH1 期末在庫(2月実績)</t>
        </is>
      </c>
      <c r="B51" s="6" t="n">
        <v>0</v>
      </c>
      <c r="C51" s="11" t="inlineStr">
        <is>
          <t>円</t>
        </is>
      </c>
    </row>
    <row r="52">
      <c r="A52" s="10" t="inlineStr">
        <is>
          <t>CH2 期末在庫(1月実績)</t>
        </is>
      </c>
      <c r="B52" s="6" t="n">
        <v>0</v>
      </c>
      <c r="C52" s="11" t="inlineStr">
        <is>
          <t>円</t>
        </is>
      </c>
    </row>
    <row r="53">
      <c r="A53" s="10" t="inlineStr">
        <is>
          <t>CH2 期末在庫(2月実績)</t>
        </is>
      </c>
      <c r="B53" s="6" t="n">
        <v>0</v>
      </c>
      <c r="C53" s="11" t="inlineStr">
        <is>
          <t>円</t>
        </is>
      </c>
    </row>
    <row r="54">
      <c r="A54" s="10" t="inlineStr">
        <is>
          <t>CH3 期末在庫(1月実績)</t>
        </is>
      </c>
      <c r="B54" s="6" t="n">
        <v>0</v>
      </c>
      <c r="C54" s="11" t="inlineStr">
        <is>
          <t>円</t>
        </is>
      </c>
    </row>
    <row r="55">
      <c r="A55" s="10" t="inlineStr">
        <is>
          <t>CH3 期末在庫(2月実績)</t>
        </is>
      </c>
      <c r="B55" s="6" t="n">
        <v>0</v>
      </c>
      <c r="C55" s="11" t="inlineStr">
        <is>
          <t>円</t>
        </is>
      </c>
    </row>
    <row r="56">
      <c r="A56" s="10" t="inlineStr">
        <is>
          <t>1店舗あたり標準在庫金額</t>
        </is>
      </c>
      <c r="B56" s="6" t="n">
        <v>0</v>
      </c>
      <c r="C56" s="11" t="inlineStr">
        <is>
          <t>円（新規OPENに適用）</t>
        </is>
      </c>
    </row>
    <row r="57">
      <c r="A57" s="10" t="inlineStr">
        <is>
          <t>1台ROBOあたり標準在庫金額</t>
        </is>
      </c>
      <c r="B57" s="6" t="n">
        <v>0</v>
      </c>
      <c r="C57" s="11" t="inlineStr">
        <is>
          <t>円（新規追加に適用）</t>
        </is>
      </c>
    </row>
  </sheetData>
  <mergeCells count="6">
    <mergeCell ref="A34:E34"/>
    <mergeCell ref="A4:E4"/>
    <mergeCell ref="A2:E2"/>
    <mergeCell ref="A19:E19"/>
    <mergeCell ref="A49:E49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6" customHeight="1">
      <c r="A1" s="12" t="inlineStr">
        <is>
          <t>在庫・DOS予測  ―  CH1 店舗</t>
        </is>
      </c>
    </row>
    <row r="2">
      <c r="A2" s="13" t="inlineStr">
        <is>
          <t>※ 月初在庫：1月は入力データシートの実績値を参照　2月以降は前月末在庫を自動引継ぎ</t>
        </is>
      </c>
    </row>
    <row r="3" ht="20" customHeight="1">
      <c r="A3" s="4" t="inlineStr">
        <is>
          <t>月</t>
        </is>
      </c>
      <c r="B3" s="4" t="inlineStr">
        <is>
          <t>当月日数</t>
        </is>
      </c>
      <c r="C3" s="4" t="inlineStr">
        <is>
          <t>月初在庫</t>
        </is>
      </c>
      <c r="D3" s="4" t="inlineStr">
        <is>
          <t>仕入</t>
        </is>
      </c>
      <c r="E3" s="4" t="inlineStr">
        <is>
          <t>新規OPEN調整</t>
        </is>
      </c>
      <c r="F3" s="4" t="inlineStr">
        <is>
          <t>閉店調整</t>
        </is>
      </c>
      <c r="G3" s="4" t="inlineStr">
        <is>
          <t>当月売上</t>
        </is>
      </c>
      <c r="H3" s="4" t="inlineStr">
        <is>
          <t>月末在庫</t>
        </is>
      </c>
      <c r="I3" s="4" t="inlineStr">
        <is>
          <t>翌月日販</t>
        </is>
      </c>
      <c r="J3" s="4" t="inlineStr">
        <is>
          <t>DOS（日）</t>
        </is>
      </c>
    </row>
    <row r="4" ht="18" customHeight="1">
      <c r="A4" s="5" t="inlineStr">
        <is>
          <t>1月</t>
        </is>
      </c>
      <c r="B4" s="5" t="n">
        <v>31</v>
      </c>
      <c r="C4" s="6">
        <f>'①入力データ'!B50</f>
        <v/>
      </c>
      <c r="D4" s="7">
        <f>'①入力データ'!B21</f>
        <v/>
      </c>
      <c r="E4" s="7">
        <f>'①入力データ'!C36*'①入力データ'!B56</f>
        <v/>
      </c>
      <c r="F4" s="7">
        <f>-'①入力データ'!D36*(IF('①入力データ'!B36&gt;0, C4/'①入力データ'!B36, 0))</f>
        <v/>
      </c>
      <c r="G4" s="7">
        <f>'①入力データ'!B6</f>
        <v/>
      </c>
      <c r="H4" s="14">
        <f>C4+D4+E4+F4-G4</f>
        <v/>
      </c>
      <c r="I4" s="7">
        <f>'①入力データ'!B7/28</f>
        <v/>
      </c>
      <c r="J4" s="15">
        <f>IF(I4&gt;0, H4/I4, 0)</f>
        <v/>
      </c>
    </row>
    <row r="5" ht="18" customHeight="1">
      <c r="A5" s="5" t="inlineStr">
        <is>
          <t>2月</t>
        </is>
      </c>
      <c r="B5" s="5" t="n">
        <v>28</v>
      </c>
      <c r="C5" s="6">
        <f>'①入力データ'!B51</f>
        <v/>
      </c>
      <c r="D5" s="7">
        <f>'①入力データ'!B22</f>
        <v/>
      </c>
      <c r="E5" s="7">
        <f>'①入力データ'!C37*'①入力データ'!B56</f>
        <v/>
      </c>
      <c r="F5" s="7">
        <f>-'①入力データ'!D37*(IF('①入力データ'!B37&gt;0, C5/'①入力データ'!B37, 0))</f>
        <v/>
      </c>
      <c r="G5" s="7">
        <f>'①入力データ'!B7</f>
        <v/>
      </c>
      <c r="H5" s="14">
        <f>C5+D5+E5+F5-G5</f>
        <v/>
      </c>
      <c r="I5" s="7">
        <f>'①入力データ'!B8/31</f>
        <v/>
      </c>
      <c r="J5" s="15">
        <f>IF(I5&gt;0, H5/I5, 0)</f>
        <v/>
      </c>
    </row>
    <row r="6" ht="18" customHeight="1">
      <c r="A6" s="5" t="inlineStr">
        <is>
          <t>3月</t>
        </is>
      </c>
      <c r="B6" s="5" t="n">
        <v>31</v>
      </c>
      <c r="C6" s="7">
        <f>H5</f>
        <v/>
      </c>
      <c r="D6" s="7">
        <f>'①入力データ'!B23</f>
        <v/>
      </c>
      <c r="E6" s="7">
        <f>'①入力データ'!C38*'①入力データ'!B56</f>
        <v/>
      </c>
      <c r="F6" s="7">
        <f>-'①入力データ'!D38*(IF('①入力データ'!B38&gt;0, C6/'①入力データ'!B38, 0))</f>
        <v/>
      </c>
      <c r="G6" s="7">
        <f>'①入力データ'!B8</f>
        <v/>
      </c>
      <c r="H6" s="14">
        <f>C6+D6+E6+F6-G6</f>
        <v/>
      </c>
      <c r="I6" s="7">
        <f>'①入力データ'!B9/30</f>
        <v/>
      </c>
      <c r="J6" s="15">
        <f>IF(I6&gt;0, H6/I6, 0)</f>
        <v/>
      </c>
    </row>
    <row r="7" ht="18" customHeight="1">
      <c r="A7" s="5" t="inlineStr">
        <is>
          <t>4月</t>
        </is>
      </c>
      <c r="B7" s="5" t="n">
        <v>30</v>
      </c>
      <c r="C7" s="7">
        <f>H6</f>
        <v/>
      </c>
      <c r="D7" s="7">
        <f>'①入力データ'!B24</f>
        <v/>
      </c>
      <c r="E7" s="7">
        <f>'①入力データ'!C39*'①入力データ'!B56</f>
        <v/>
      </c>
      <c r="F7" s="7">
        <f>-'①入力データ'!D39*(IF('①入力データ'!B39&gt;0, C7/'①入力データ'!B39, 0))</f>
        <v/>
      </c>
      <c r="G7" s="7">
        <f>'①入力データ'!B9</f>
        <v/>
      </c>
      <c r="H7" s="14">
        <f>C7+D7+E7+F7-G7</f>
        <v/>
      </c>
      <c r="I7" s="7">
        <f>'①入力データ'!B10/31</f>
        <v/>
      </c>
      <c r="J7" s="15">
        <f>IF(I7&gt;0, H7/I7, 0)</f>
        <v/>
      </c>
    </row>
    <row r="8" ht="18" customHeight="1">
      <c r="A8" s="5" t="inlineStr">
        <is>
          <t>5月</t>
        </is>
      </c>
      <c r="B8" s="5" t="n">
        <v>31</v>
      </c>
      <c r="C8" s="7">
        <f>H7</f>
        <v/>
      </c>
      <c r="D8" s="7">
        <f>'①入力データ'!B25</f>
        <v/>
      </c>
      <c r="E8" s="7">
        <f>'①入力データ'!C40*'①入力データ'!B56</f>
        <v/>
      </c>
      <c r="F8" s="7">
        <f>-'①入力データ'!D40*(IF('①入力データ'!B40&gt;0, C8/'①入力データ'!B40, 0))</f>
        <v/>
      </c>
      <c r="G8" s="7">
        <f>'①入力データ'!B10</f>
        <v/>
      </c>
      <c r="H8" s="14">
        <f>C8+D8+E8+F8-G8</f>
        <v/>
      </c>
      <c r="I8" s="7">
        <f>'①入力データ'!B11/30</f>
        <v/>
      </c>
      <c r="J8" s="15">
        <f>IF(I8&gt;0, H8/I8, 0)</f>
        <v/>
      </c>
    </row>
    <row r="9" ht="18" customHeight="1">
      <c r="A9" s="5" t="inlineStr">
        <is>
          <t>6月</t>
        </is>
      </c>
      <c r="B9" s="5" t="n">
        <v>30</v>
      </c>
      <c r="C9" s="7">
        <f>H8</f>
        <v/>
      </c>
      <c r="D9" s="7">
        <f>'①入力データ'!B26</f>
        <v/>
      </c>
      <c r="E9" s="7">
        <f>'①入力データ'!C41*'①入力データ'!B56</f>
        <v/>
      </c>
      <c r="F9" s="7">
        <f>-'①入力データ'!D41*(IF('①入力データ'!B41&gt;0, C9/'①入力データ'!B41, 0))</f>
        <v/>
      </c>
      <c r="G9" s="7">
        <f>'①入力データ'!B11</f>
        <v/>
      </c>
      <c r="H9" s="14">
        <f>C9+D9+E9+F9-G9</f>
        <v/>
      </c>
      <c r="I9" s="7">
        <f>'①入力データ'!B12/31</f>
        <v/>
      </c>
      <c r="J9" s="15">
        <f>IF(I9&gt;0, H9/I9, 0)</f>
        <v/>
      </c>
    </row>
    <row r="10" ht="18" customHeight="1">
      <c r="A10" s="5" t="inlineStr">
        <is>
          <t>7月</t>
        </is>
      </c>
      <c r="B10" s="5" t="n">
        <v>31</v>
      </c>
      <c r="C10" s="7">
        <f>H9</f>
        <v/>
      </c>
      <c r="D10" s="7">
        <f>'①入力データ'!B27</f>
        <v/>
      </c>
      <c r="E10" s="7">
        <f>'①入力データ'!C42*'①入力データ'!B56</f>
        <v/>
      </c>
      <c r="F10" s="7">
        <f>-'①入力データ'!D42*(IF('①入力データ'!B42&gt;0, C10/'①入力データ'!B42, 0))</f>
        <v/>
      </c>
      <c r="G10" s="7">
        <f>'①入力データ'!B12</f>
        <v/>
      </c>
      <c r="H10" s="14">
        <f>C10+D10+E10+F10-G10</f>
        <v/>
      </c>
      <c r="I10" s="7">
        <f>'①入力データ'!B13/31</f>
        <v/>
      </c>
      <c r="J10" s="15">
        <f>IF(I10&gt;0, H10/I10, 0)</f>
        <v/>
      </c>
    </row>
    <row r="11" ht="18" customHeight="1">
      <c r="A11" s="5" t="inlineStr">
        <is>
          <t>8月</t>
        </is>
      </c>
      <c r="B11" s="5" t="n">
        <v>31</v>
      </c>
      <c r="C11" s="7">
        <f>H10</f>
        <v/>
      </c>
      <c r="D11" s="7">
        <f>'①入力データ'!B28</f>
        <v/>
      </c>
      <c r="E11" s="7">
        <f>'①入力データ'!C43*'①入力データ'!B56</f>
        <v/>
      </c>
      <c r="F11" s="7">
        <f>-'①入力データ'!D43*(IF('①入力データ'!B43&gt;0, C11/'①入力データ'!B43, 0))</f>
        <v/>
      </c>
      <c r="G11" s="7">
        <f>'①入力データ'!B13</f>
        <v/>
      </c>
      <c r="H11" s="14">
        <f>C11+D11+E11+F11-G11</f>
        <v/>
      </c>
      <c r="I11" s="7">
        <f>'①入力データ'!B14/30</f>
        <v/>
      </c>
      <c r="J11" s="15">
        <f>IF(I11&gt;0, H11/I11, 0)</f>
        <v/>
      </c>
    </row>
    <row r="12" ht="18" customHeight="1">
      <c r="A12" s="5" t="inlineStr">
        <is>
          <t>9月</t>
        </is>
      </c>
      <c r="B12" s="5" t="n">
        <v>30</v>
      </c>
      <c r="C12" s="7">
        <f>H11</f>
        <v/>
      </c>
      <c r="D12" s="7">
        <f>'①入力データ'!B29</f>
        <v/>
      </c>
      <c r="E12" s="7">
        <f>'①入力データ'!C44*'①入力データ'!B56</f>
        <v/>
      </c>
      <c r="F12" s="7">
        <f>-'①入力データ'!D44*(IF('①入力データ'!B44&gt;0, C12/'①入力データ'!B44, 0))</f>
        <v/>
      </c>
      <c r="G12" s="7">
        <f>'①入力データ'!B14</f>
        <v/>
      </c>
      <c r="H12" s="14">
        <f>C12+D12+E12+F12-G12</f>
        <v/>
      </c>
      <c r="I12" s="7">
        <f>'①入力データ'!B15/31</f>
        <v/>
      </c>
      <c r="J12" s="15">
        <f>IF(I12&gt;0, H12/I12, 0)</f>
        <v/>
      </c>
    </row>
    <row r="13" ht="18" customHeight="1">
      <c r="A13" s="5" t="inlineStr">
        <is>
          <t>10月</t>
        </is>
      </c>
      <c r="B13" s="5" t="n">
        <v>31</v>
      </c>
      <c r="C13" s="7">
        <f>H12</f>
        <v/>
      </c>
      <c r="D13" s="7">
        <f>'①入力データ'!B30</f>
        <v/>
      </c>
      <c r="E13" s="7">
        <f>'①入力データ'!C45*'①入力データ'!B56</f>
        <v/>
      </c>
      <c r="F13" s="7">
        <f>-'①入力データ'!D45*(IF('①入力データ'!B45&gt;0, C13/'①入力データ'!B45, 0))</f>
        <v/>
      </c>
      <c r="G13" s="7">
        <f>'①入力データ'!B15</f>
        <v/>
      </c>
      <c r="H13" s="14">
        <f>C13+D13+E13+F13-G13</f>
        <v/>
      </c>
      <c r="I13" s="7">
        <f>'①入力データ'!B16/30</f>
        <v/>
      </c>
      <c r="J13" s="15">
        <f>IF(I13&gt;0, H13/I13, 0)</f>
        <v/>
      </c>
    </row>
    <row r="14" ht="18" customHeight="1">
      <c r="A14" s="5" t="inlineStr">
        <is>
          <t>11月</t>
        </is>
      </c>
      <c r="B14" s="5" t="n">
        <v>30</v>
      </c>
      <c r="C14" s="7">
        <f>H13</f>
        <v/>
      </c>
      <c r="D14" s="7">
        <f>'①入力データ'!B31</f>
        <v/>
      </c>
      <c r="E14" s="7">
        <f>'①入力データ'!C46*'①入力データ'!B56</f>
        <v/>
      </c>
      <c r="F14" s="7">
        <f>-'①入力データ'!D46*(IF('①入力データ'!B46&gt;0, C14/'①入力データ'!B46, 0))</f>
        <v/>
      </c>
      <c r="G14" s="7">
        <f>'①入力データ'!B16</f>
        <v/>
      </c>
      <c r="H14" s="14">
        <f>C14+D14+E14+F14-G14</f>
        <v/>
      </c>
      <c r="I14" s="7">
        <f>'①入力データ'!B17/31</f>
        <v/>
      </c>
      <c r="J14" s="15">
        <f>IF(I14&gt;0, H14/I14, 0)</f>
        <v/>
      </c>
    </row>
    <row r="15" ht="18" customHeight="1">
      <c r="A15" s="5" t="inlineStr">
        <is>
          <t>12月</t>
        </is>
      </c>
      <c r="B15" s="5" t="n">
        <v>31</v>
      </c>
      <c r="C15" s="7">
        <f>H14</f>
        <v/>
      </c>
      <c r="D15" s="7">
        <f>'①入力データ'!B32</f>
        <v/>
      </c>
      <c r="E15" s="7">
        <f>'①入力データ'!C47*'①入力データ'!B56</f>
        <v/>
      </c>
      <c r="F15" s="7">
        <f>-'①入力データ'!D47*(IF('①入力データ'!B47&gt;0, C15/'①入力データ'!B47, 0))</f>
        <v/>
      </c>
      <c r="G15" s="7">
        <f>'①入力データ'!B17</f>
        <v/>
      </c>
      <c r="H15" s="14">
        <f>C15+D15+E15+F15-G15</f>
        <v/>
      </c>
      <c r="I15" s="7">
        <f>'①入力データ'!B17/31</f>
        <v/>
      </c>
      <c r="J15" s="15">
        <f>IF(I15&gt;0, H15/I15, 0)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6" customHeight="1">
      <c r="A1" s="16" t="inlineStr">
        <is>
          <t>在庫・DOS予測  ―  CH2 ROBO</t>
        </is>
      </c>
    </row>
    <row r="2">
      <c r="A2" s="13" t="inlineStr">
        <is>
          <t>※ 月初在庫：1月は入力データシートの実績値を参照　2月以降は前月末在庫を自動引継ぎ</t>
        </is>
      </c>
    </row>
    <row r="3" ht="20" customHeight="1">
      <c r="A3" s="17" t="inlineStr">
        <is>
          <t>月</t>
        </is>
      </c>
      <c r="B3" s="17" t="inlineStr">
        <is>
          <t>当月日数</t>
        </is>
      </c>
      <c r="C3" s="17" t="inlineStr">
        <is>
          <t>月初在庫</t>
        </is>
      </c>
      <c r="D3" s="17" t="inlineStr">
        <is>
          <t>仕入</t>
        </is>
      </c>
      <c r="E3" s="17" t="inlineStr">
        <is>
          <t>新規ROBO調整</t>
        </is>
      </c>
      <c r="F3" s="17" t="inlineStr">
        <is>
          <t>（予備）</t>
        </is>
      </c>
      <c r="G3" s="17" t="inlineStr">
        <is>
          <t>当月売上</t>
        </is>
      </c>
      <c r="H3" s="17" t="inlineStr">
        <is>
          <t>月末在庫</t>
        </is>
      </c>
      <c r="I3" s="17" t="inlineStr">
        <is>
          <t>翌月日販</t>
        </is>
      </c>
      <c r="J3" s="17" t="inlineStr">
        <is>
          <t>DOS（日）</t>
        </is>
      </c>
    </row>
    <row r="4" ht="18" customHeight="1">
      <c r="A4" s="5" t="inlineStr">
        <is>
          <t>1月</t>
        </is>
      </c>
      <c r="B4" s="5" t="n">
        <v>31</v>
      </c>
      <c r="C4" s="6">
        <f>'①入力データ'!B52</f>
        <v/>
      </c>
      <c r="D4" s="7">
        <f>'①入力データ'!C21</f>
        <v/>
      </c>
      <c r="E4" s="7">
        <f>'①入力データ'!I36*'①入力データ'!B57</f>
        <v/>
      </c>
      <c r="F4" s="5" t="inlineStr">
        <is>
          <t>―</t>
        </is>
      </c>
      <c r="G4" s="7">
        <f>'①入力データ'!C6</f>
        <v/>
      </c>
      <c r="H4" s="18">
        <f>C4+D4+E4-G4</f>
        <v/>
      </c>
      <c r="I4" s="7">
        <f>'①入力データ'!C7/28</f>
        <v/>
      </c>
      <c r="J4" s="15">
        <f>IF(I4&gt;0, H4/I4, 0)</f>
        <v/>
      </c>
    </row>
    <row r="5" ht="18" customHeight="1">
      <c r="A5" s="5" t="inlineStr">
        <is>
          <t>2月</t>
        </is>
      </c>
      <c r="B5" s="5" t="n">
        <v>28</v>
      </c>
      <c r="C5" s="6">
        <f>'①入力データ'!B53</f>
        <v/>
      </c>
      <c r="D5" s="7">
        <f>'①入力データ'!C22</f>
        <v/>
      </c>
      <c r="E5" s="7">
        <f>'①入力データ'!I37*'①入力データ'!B57</f>
        <v/>
      </c>
      <c r="F5" s="5" t="inlineStr">
        <is>
          <t>―</t>
        </is>
      </c>
      <c r="G5" s="7">
        <f>'①入力データ'!C7</f>
        <v/>
      </c>
      <c r="H5" s="18">
        <f>C5+D5+E5-G5</f>
        <v/>
      </c>
      <c r="I5" s="7">
        <f>'①入力データ'!C8/31</f>
        <v/>
      </c>
      <c r="J5" s="15">
        <f>IF(I5&gt;0, H5/I5, 0)</f>
        <v/>
      </c>
    </row>
    <row r="6" ht="18" customHeight="1">
      <c r="A6" s="5" t="inlineStr">
        <is>
          <t>3月</t>
        </is>
      </c>
      <c r="B6" s="5" t="n">
        <v>31</v>
      </c>
      <c r="C6" s="7">
        <f>H5</f>
        <v/>
      </c>
      <c r="D6" s="7">
        <f>'①入力データ'!C23</f>
        <v/>
      </c>
      <c r="E6" s="7">
        <f>'①入力データ'!I38*'①入力データ'!B57</f>
        <v/>
      </c>
      <c r="F6" s="5" t="inlineStr">
        <is>
          <t>―</t>
        </is>
      </c>
      <c r="G6" s="7">
        <f>'①入力データ'!C8</f>
        <v/>
      </c>
      <c r="H6" s="18">
        <f>C6+D6+E6-G6</f>
        <v/>
      </c>
      <c r="I6" s="7">
        <f>'①入力データ'!C9/30</f>
        <v/>
      </c>
      <c r="J6" s="15">
        <f>IF(I6&gt;0, H6/I6, 0)</f>
        <v/>
      </c>
    </row>
    <row r="7" ht="18" customHeight="1">
      <c r="A7" s="5" t="inlineStr">
        <is>
          <t>4月</t>
        </is>
      </c>
      <c r="B7" s="5" t="n">
        <v>30</v>
      </c>
      <c r="C7" s="7">
        <f>H6</f>
        <v/>
      </c>
      <c r="D7" s="7">
        <f>'①入力データ'!C24</f>
        <v/>
      </c>
      <c r="E7" s="7">
        <f>'①入力データ'!I39*'①入力データ'!B57</f>
        <v/>
      </c>
      <c r="F7" s="5" t="inlineStr">
        <is>
          <t>―</t>
        </is>
      </c>
      <c r="G7" s="7">
        <f>'①入力データ'!C9</f>
        <v/>
      </c>
      <c r="H7" s="18">
        <f>C7+D7+E7-G7</f>
        <v/>
      </c>
      <c r="I7" s="7">
        <f>'①入力データ'!C10/31</f>
        <v/>
      </c>
      <c r="J7" s="15">
        <f>IF(I7&gt;0, H7/I7, 0)</f>
        <v/>
      </c>
    </row>
    <row r="8" ht="18" customHeight="1">
      <c r="A8" s="5" t="inlineStr">
        <is>
          <t>5月</t>
        </is>
      </c>
      <c r="B8" s="5" t="n">
        <v>31</v>
      </c>
      <c r="C8" s="7">
        <f>H7</f>
        <v/>
      </c>
      <c r="D8" s="7">
        <f>'①入力データ'!C25</f>
        <v/>
      </c>
      <c r="E8" s="7">
        <f>'①入力データ'!I40*'①入力データ'!B57</f>
        <v/>
      </c>
      <c r="F8" s="5" t="inlineStr">
        <is>
          <t>―</t>
        </is>
      </c>
      <c r="G8" s="7">
        <f>'①入力データ'!C10</f>
        <v/>
      </c>
      <c r="H8" s="18">
        <f>C8+D8+E8-G8</f>
        <v/>
      </c>
      <c r="I8" s="7">
        <f>'①入力データ'!C11/30</f>
        <v/>
      </c>
      <c r="J8" s="15">
        <f>IF(I8&gt;0, H8/I8, 0)</f>
        <v/>
      </c>
    </row>
    <row r="9" ht="18" customHeight="1">
      <c r="A9" s="5" t="inlineStr">
        <is>
          <t>6月</t>
        </is>
      </c>
      <c r="B9" s="5" t="n">
        <v>30</v>
      </c>
      <c r="C9" s="7">
        <f>H8</f>
        <v/>
      </c>
      <c r="D9" s="7">
        <f>'①入力データ'!C26</f>
        <v/>
      </c>
      <c r="E9" s="7">
        <f>'①入力データ'!I41*'①入力データ'!B57</f>
        <v/>
      </c>
      <c r="F9" s="5" t="inlineStr">
        <is>
          <t>―</t>
        </is>
      </c>
      <c r="G9" s="7">
        <f>'①入力データ'!C11</f>
        <v/>
      </c>
      <c r="H9" s="18">
        <f>C9+D9+E9-G9</f>
        <v/>
      </c>
      <c r="I9" s="7">
        <f>'①入力データ'!C12/31</f>
        <v/>
      </c>
      <c r="J9" s="15">
        <f>IF(I9&gt;0, H9/I9, 0)</f>
        <v/>
      </c>
    </row>
    <row r="10" ht="18" customHeight="1">
      <c r="A10" s="5" t="inlineStr">
        <is>
          <t>7月</t>
        </is>
      </c>
      <c r="B10" s="5" t="n">
        <v>31</v>
      </c>
      <c r="C10" s="7">
        <f>H9</f>
        <v/>
      </c>
      <c r="D10" s="7">
        <f>'①入力データ'!C27</f>
        <v/>
      </c>
      <c r="E10" s="7">
        <f>'①入力データ'!I42*'①入力データ'!B57</f>
        <v/>
      </c>
      <c r="F10" s="5" t="inlineStr">
        <is>
          <t>―</t>
        </is>
      </c>
      <c r="G10" s="7">
        <f>'①入力データ'!C12</f>
        <v/>
      </c>
      <c r="H10" s="18">
        <f>C10+D10+E10-G10</f>
        <v/>
      </c>
      <c r="I10" s="7">
        <f>'①入力データ'!C13/31</f>
        <v/>
      </c>
      <c r="J10" s="15">
        <f>IF(I10&gt;0, H10/I10, 0)</f>
        <v/>
      </c>
    </row>
    <row r="11" ht="18" customHeight="1">
      <c r="A11" s="5" t="inlineStr">
        <is>
          <t>8月</t>
        </is>
      </c>
      <c r="B11" s="5" t="n">
        <v>31</v>
      </c>
      <c r="C11" s="7">
        <f>H10</f>
        <v/>
      </c>
      <c r="D11" s="7">
        <f>'①入力データ'!C28</f>
        <v/>
      </c>
      <c r="E11" s="7">
        <f>'①入力データ'!I43*'①入力データ'!B57</f>
        <v/>
      </c>
      <c r="F11" s="5" t="inlineStr">
        <is>
          <t>―</t>
        </is>
      </c>
      <c r="G11" s="7">
        <f>'①入力データ'!C13</f>
        <v/>
      </c>
      <c r="H11" s="18">
        <f>C11+D11+E11-G11</f>
        <v/>
      </c>
      <c r="I11" s="7">
        <f>'①入力データ'!C14/30</f>
        <v/>
      </c>
      <c r="J11" s="15">
        <f>IF(I11&gt;0, H11/I11, 0)</f>
        <v/>
      </c>
    </row>
    <row r="12" ht="18" customHeight="1">
      <c r="A12" s="5" t="inlineStr">
        <is>
          <t>9月</t>
        </is>
      </c>
      <c r="B12" s="5" t="n">
        <v>30</v>
      </c>
      <c r="C12" s="7">
        <f>H11</f>
        <v/>
      </c>
      <c r="D12" s="7">
        <f>'①入力データ'!C29</f>
        <v/>
      </c>
      <c r="E12" s="7">
        <f>'①入力データ'!I44*'①入力データ'!B57</f>
        <v/>
      </c>
      <c r="F12" s="5" t="inlineStr">
        <is>
          <t>―</t>
        </is>
      </c>
      <c r="G12" s="7">
        <f>'①入力データ'!C14</f>
        <v/>
      </c>
      <c r="H12" s="18">
        <f>C12+D12+E12-G12</f>
        <v/>
      </c>
      <c r="I12" s="7">
        <f>'①入力データ'!C15/31</f>
        <v/>
      </c>
      <c r="J12" s="15">
        <f>IF(I12&gt;0, H12/I12, 0)</f>
        <v/>
      </c>
    </row>
    <row r="13" ht="18" customHeight="1">
      <c r="A13" s="5" t="inlineStr">
        <is>
          <t>10月</t>
        </is>
      </c>
      <c r="B13" s="5" t="n">
        <v>31</v>
      </c>
      <c r="C13" s="7">
        <f>H12</f>
        <v/>
      </c>
      <c r="D13" s="7">
        <f>'①入力データ'!C30</f>
        <v/>
      </c>
      <c r="E13" s="7">
        <f>'①入力データ'!I45*'①入力データ'!B57</f>
        <v/>
      </c>
      <c r="F13" s="5" t="inlineStr">
        <is>
          <t>―</t>
        </is>
      </c>
      <c r="G13" s="7">
        <f>'①入力データ'!C15</f>
        <v/>
      </c>
      <c r="H13" s="18">
        <f>C13+D13+E13-G13</f>
        <v/>
      </c>
      <c r="I13" s="7">
        <f>'①入力データ'!C16/30</f>
        <v/>
      </c>
      <c r="J13" s="15">
        <f>IF(I13&gt;0, H13/I13, 0)</f>
        <v/>
      </c>
    </row>
    <row r="14" ht="18" customHeight="1">
      <c r="A14" s="5" t="inlineStr">
        <is>
          <t>11月</t>
        </is>
      </c>
      <c r="B14" s="5" t="n">
        <v>30</v>
      </c>
      <c r="C14" s="7">
        <f>H13</f>
        <v/>
      </c>
      <c r="D14" s="7">
        <f>'①入力データ'!C31</f>
        <v/>
      </c>
      <c r="E14" s="7">
        <f>'①入力データ'!I46*'①入力データ'!B57</f>
        <v/>
      </c>
      <c r="F14" s="5" t="inlineStr">
        <is>
          <t>―</t>
        </is>
      </c>
      <c r="G14" s="7">
        <f>'①入力データ'!C16</f>
        <v/>
      </c>
      <c r="H14" s="18">
        <f>C14+D14+E14-G14</f>
        <v/>
      </c>
      <c r="I14" s="7">
        <f>'①入力データ'!C17/31</f>
        <v/>
      </c>
      <c r="J14" s="15">
        <f>IF(I14&gt;0, H14/I14, 0)</f>
        <v/>
      </c>
    </row>
    <row r="15" ht="18" customHeight="1">
      <c r="A15" s="5" t="inlineStr">
        <is>
          <t>12月</t>
        </is>
      </c>
      <c r="B15" s="5" t="n">
        <v>31</v>
      </c>
      <c r="C15" s="7">
        <f>H14</f>
        <v/>
      </c>
      <c r="D15" s="7">
        <f>'①入力データ'!C32</f>
        <v/>
      </c>
      <c r="E15" s="7">
        <f>'①入力データ'!I47*'①入力データ'!B57</f>
        <v/>
      </c>
      <c r="F15" s="5" t="inlineStr">
        <is>
          <t>―</t>
        </is>
      </c>
      <c r="G15" s="7">
        <f>'①入力データ'!C17</f>
        <v/>
      </c>
      <c r="H15" s="18">
        <f>C15+D15+E15-G15</f>
        <v/>
      </c>
      <c r="I15" s="7">
        <f>'①入力データ'!C17/31</f>
        <v/>
      </c>
      <c r="J15" s="15">
        <f>IF(I15&gt;0, H15/I15, 0)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6" customHeight="1">
      <c r="A1" s="19" t="inlineStr">
        <is>
          <t>在庫・DOS予測  ―  CH3 B2B</t>
        </is>
      </c>
    </row>
    <row r="2">
      <c r="A2" s="13" t="inlineStr">
        <is>
          <t>※ 月初在庫：1月は入力データシートの実績値を参照　2月以降は前月末在庫を自動引継ぎ</t>
        </is>
      </c>
    </row>
    <row r="3" ht="20" customHeight="1">
      <c r="A3" s="20" t="inlineStr">
        <is>
          <t>月</t>
        </is>
      </c>
      <c r="B3" s="20" t="inlineStr">
        <is>
          <t>当月日数</t>
        </is>
      </c>
      <c r="C3" s="20" t="inlineStr">
        <is>
          <t>月初在庫</t>
        </is>
      </c>
      <c r="D3" s="20" t="inlineStr">
        <is>
          <t>仕入</t>
        </is>
      </c>
      <c r="E3" s="20" t="inlineStr">
        <is>
          <t>（調整なし）</t>
        </is>
      </c>
      <c r="F3" s="20" t="inlineStr">
        <is>
          <t>（調整なし）</t>
        </is>
      </c>
      <c r="G3" s="20" t="inlineStr">
        <is>
          <t>当月売上</t>
        </is>
      </c>
      <c r="H3" s="20" t="inlineStr">
        <is>
          <t>月末在庫</t>
        </is>
      </c>
      <c r="I3" s="20" t="inlineStr">
        <is>
          <t>翌月日販</t>
        </is>
      </c>
      <c r="J3" s="20" t="inlineStr">
        <is>
          <t>DOS（日）</t>
        </is>
      </c>
    </row>
    <row r="4" ht="18" customHeight="1">
      <c r="A4" s="5" t="inlineStr">
        <is>
          <t>1月</t>
        </is>
      </c>
      <c r="B4" s="5" t="n">
        <v>31</v>
      </c>
      <c r="C4" s="6">
        <f>'①入力データ'!B54</f>
        <v/>
      </c>
      <c r="D4" s="7">
        <f>'①入力データ'!D21</f>
        <v/>
      </c>
      <c r="E4" s="5" t="inlineStr">
        <is>
          <t>―</t>
        </is>
      </c>
      <c r="F4" s="5" t="inlineStr">
        <is>
          <t>―</t>
        </is>
      </c>
      <c r="G4" s="7">
        <f>'①入力データ'!D6</f>
        <v/>
      </c>
      <c r="H4" s="21">
        <f>C4+D4-G4</f>
        <v/>
      </c>
      <c r="I4" s="7">
        <f>'①入力データ'!D7/28</f>
        <v/>
      </c>
      <c r="J4" s="15">
        <f>IF(I4&gt;0, H4/I4, 0)</f>
        <v/>
      </c>
    </row>
    <row r="5" ht="18" customHeight="1">
      <c r="A5" s="5" t="inlineStr">
        <is>
          <t>2月</t>
        </is>
      </c>
      <c r="B5" s="5" t="n">
        <v>28</v>
      </c>
      <c r="C5" s="6">
        <f>'①入力データ'!B55</f>
        <v/>
      </c>
      <c r="D5" s="7">
        <f>'①入力データ'!D22</f>
        <v/>
      </c>
      <c r="E5" s="5" t="inlineStr">
        <is>
          <t>―</t>
        </is>
      </c>
      <c r="F5" s="5" t="inlineStr">
        <is>
          <t>―</t>
        </is>
      </c>
      <c r="G5" s="7">
        <f>'①入力データ'!D7</f>
        <v/>
      </c>
      <c r="H5" s="21">
        <f>C5+D5-G5</f>
        <v/>
      </c>
      <c r="I5" s="7">
        <f>'①入力データ'!D8/31</f>
        <v/>
      </c>
      <c r="J5" s="15">
        <f>IF(I5&gt;0, H5/I5, 0)</f>
        <v/>
      </c>
    </row>
    <row r="6" ht="18" customHeight="1">
      <c r="A6" s="5" t="inlineStr">
        <is>
          <t>3月</t>
        </is>
      </c>
      <c r="B6" s="5" t="n">
        <v>31</v>
      </c>
      <c r="C6" s="7">
        <f>H5</f>
        <v/>
      </c>
      <c r="D6" s="7">
        <f>'①入力データ'!D23</f>
        <v/>
      </c>
      <c r="E6" s="5" t="inlineStr">
        <is>
          <t>―</t>
        </is>
      </c>
      <c r="F6" s="5" t="inlineStr">
        <is>
          <t>―</t>
        </is>
      </c>
      <c r="G6" s="7">
        <f>'①入力データ'!D8</f>
        <v/>
      </c>
      <c r="H6" s="21">
        <f>C6+D6-G6</f>
        <v/>
      </c>
      <c r="I6" s="7">
        <f>'①入力データ'!D9/30</f>
        <v/>
      </c>
      <c r="J6" s="15">
        <f>IF(I6&gt;0, H6/I6, 0)</f>
        <v/>
      </c>
    </row>
    <row r="7" ht="18" customHeight="1">
      <c r="A7" s="5" t="inlineStr">
        <is>
          <t>4月</t>
        </is>
      </c>
      <c r="B7" s="5" t="n">
        <v>30</v>
      </c>
      <c r="C7" s="7">
        <f>H6</f>
        <v/>
      </c>
      <c r="D7" s="7">
        <f>'①入力データ'!D24</f>
        <v/>
      </c>
      <c r="E7" s="5" t="inlineStr">
        <is>
          <t>―</t>
        </is>
      </c>
      <c r="F7" s="5" t="inlineStr">
        <is>
          <t>―</t>
        </is>
      </c>
      <c r="G7" s="7">
        <f>'①入力データ'!D9</f>
        <v/>
      </c>
      <c r="H7" s="21">
        <f>C7+D7-G7</f>
        <v/>
      </c>
      <c r="I7" s="7">
        <f>'①入力データ'!D10/31</f>
        <v/>
      </c>
      <c r="J7" s="15">
        <f>IF(I7&gt;0, H7/I7, 0)</f>
        <v/>
      </c>
    </row>
    <row r="8" ht="18" customHeight="1">
      <c r="A8" s="5" t="inlineStr">
        <is>
          <t>5月</t>
        </is>
      </c>
      <c r="B8" s="5" t="n">
        <v>31</v>
      </c>
      <c r="C8" s="7">
        <f>H7</f>
        <v/>
      </c>
      <c r="D8" s="7">
        <f>'①入力データ'!D25</f>
        <v/>
      </c>
      <c r="E8" s="5" t="inlineStr">
        <is>
          <t>―</t>
        </is>
      </c>
      <c r="F8" s="5" t="inlineStr">
        <is>
          <t>―</t>
        </is>
      </c>
      <c r="G8" s="7">
        <f>'①入力データ'!D10</f>
        <v/>
      </c>
      <c r="H8" s="21">
        <f>C8+D8-G8</f>
        <v/>
      </c>
      <c r="I8" s="7">
        <f>'①入力データ'!D11/30</f>
        <v/>
      </c>
      <c r="J8" s="15">
        <f>IF(I8&gt;0, H8/I8, 0)</f>
        <v/>
      </c>
    </row>
    <row r="9" ht="18" customHeight="1">
      <c r="A9" s="5" t="inlineStr">
        <is>
          <t>6月</t>
        </is>
      </c>
      <c r="B9" s="5" t="n">
        <v>30</v>
      </c>
      <c r="C9" s="7">
        <f>H8</f>
        <v/>
      </c>
      <c r="D9" s="7">
        <f>'①入力データ'!D26</f>
        <v/>
      </c>
      <c r="E9" s="5" t="inlineStr">
        <is>
          <t>―</t>
        </is>
      </c>
      <c r="F9" s="5" t="inlineStr">
        <is>
          <t>―</t>
        </is>
      </c>
      <c r="G9" s="7">
        <f>'①入力データ'!D11</f>
        <v/>
      </c>
      <c r="H9" s="21">
        <f>C9+D9-G9</f>
        <v/>
      </c>
      <c r="I9" s="7">
        <f>'①入力データ'!D12/31</f>
        <v/>
      </c>
      <c r="J9" s="15">
        <f>IF(I9&gt;0, H9/I9, 0)</f>
        <v/>
      </c>
    </row>
    <row r="10" ht="18" customHeight="1">
      <c r="A10" s="5" t="inlineStr">
        <is>
          <t>7月</t>
        </is>
      </c>
      <c r="B10" s="5" t="n">
        <v>31</v>
      </c>
      <c r="C10" s="7">
        <f>H9</f>
        <v/>
      </c>
      <c r="D10" s="7">
        <f>'①入力データ'!D27</f>
        <v/>
      </c>
      <c r="E10" s="5" t="inlineStr">
        <is>
          <t>―</t>
        </is>
      </c>
      <c r="F10" s="5" t="inlineStr">
        <is>
          <t>―</t>
        </is>
      </c>
      <c r="G10" s="7">
        <f>'①入力データ'!D12</f>
        <v/>
      </c>
      <c r="H10" s="21">
        <f>C10+D10-G10</f>
        <v/>
      </c>
      <c r="I10" s="7">
        <f>'①入力データ'!D13/31</f>
        <v/>
      </c>
      <c r="J10" s="15">
        <f>IF(I10&gt;0, H10/I10, 0)</f>
        <v/>
      </c>
    </row>
    <row r="11" ht="18" customHeight="1">
      <c r="A11" s="5" t="inlineStr">
        <is>
          <t>8月</t>
        </is>
      </c>
      <c r="B11" s="5" t="n">
        <v>31</v>
      </c>
      <c r="C11" s="7">
        <f>H10</f>
        <v/>
      </c>
      <c r="D11" s="7">
        <f>'①入力データ'!D28</f>
        <v/>
      </c>
      <c r="E11" s="5" t="inlineStr">
        <is>
          <t>―</t>
        </is>
      </c>
      <c r="F11" s="5" t="inlineStr">
        <is>
          <t>―</t>
        </is>
      </c>
      <c r="G11" s="7">
        <f>'①入力データ'!D13</f>
        <v/>
      </c>
      <c r="H11" s="21">
        <f>C11+D11-G11</f>
        <v/>
      </c>
      <c r="I11" s="7">
        <f>'①入力データ'!D14/30</f>
        <v/>
      </c>
      <c r="J11" s="15">
        <f>IF(I11&gt;0, H11/I11, 0)</f>
        <v/>
      </c>
    </row>
    <row r="12" ht="18" customHeight="1">
      <c r="A12" s="5" t="inlineStr">
        <is>
          <t>9月</t>
        </is>
      </c>
      <c r="B12" s="5" t="n">
        <v>30</v>
      </c>
      <c r="C12" s="7">
        <f>H11</f>
        <v/>
      </c>
      <c r="D12" s="7">
        <f>'①入力データ'!D29</f>
        <v/>
      </c>
      <c r="E12" s="5" t="inlineStr">
        <is>
          <t>―</t>
        </is>
      </c>
      <c r="F12" s="5" t="inlineStr">
        <is>
          <t>―</t>
        </is>
      </c>
      <c r="G12" s="7">
        <f>'①入力データ'!D14</f>
        <v/>
      </c>
      <c r="H12" s="21">
        <f>C12+D12-G12</f>
        <v/>
      </c>
      <c r="I12" s="7">
        <f>'①入力データ'!D15/31</f>
        <v/>
      </c>
      <c r="J12" s="15">
        <f>IF(I12&gt;0, H12/I12, 0)</f>
        <v/>
      </c>
    </row>
    <row r="13" ht="18" customHeight="1">
      <c r="A13" s="5" t="inlineStr">
        <is>
          <t>10月</t>
        </is>
      </c>
      <c r="B13" s="5" t="n">
        <v>31</v>
      </c>
      <c r="C13" s="7">
        <f>H12</f>
        <v/>
      </c>
      <c r="D13" s="7">
        <f>'①入力データ'!D30</f>
        <v/>
      </c>
      <c r="E13" s="5" t="inlineStr">
        <is>
          <t>―</t>
        </is>
      </c>
      <c r="F13" s="5" t="inlineStr">
        <is>
          <t>―</t>
        </is>
      </c>
      <c r="G13" s="7">
        <f>'①入力データ'!D15</f>
        <v/>
      </c>
      <c r="H13" s="21">
        <f>C13+D13-G13</f>
        <v/>
      </c>
      <c r="I13" s="7">
        <f>'①入力データ'!D16/30</f>
        <v/>
      </c>
      <c r="J13" s="15">
        <f>IF(I13&gt;0, H13/I13, 0)</f>
        <v/>
      </c>
    </row>
    <row r="14" ht="18" customHeight="1">
      <c r="A14" s="5" t="inlineStr">
        <is>
          <t>11月</t>
        </is>
      </c>
      <c r="B14" s="5" t="n">
        <v>30</v>
      </c>
      <c r="C14" s="7">
        <f>H13</f>
        <v/>
      </c>
      <c r="D14" s="7">
        <f>'①入力データ'!D31</f>
        <v/>
      </c>
      <c r="E14" s="5" t="inlineStr">
        <is>
          <t>―</t>
        </is>
      </c>
      <c r="F14" s="5" t="inlineStr">
        <is>
          <t>―</t>
        </is>
      </c>
      <c r="G14" s="7">
        <f>'①入力データ'!D16</f>
        <v/>
      </c>
      <c r="H14" s="21">
        <f>C14+D14-G14</f>
        <v/>
      </c>
      <c r="I14" s="7">
        <f>'①入力データ'!D17/31</f>
        <v/>
      </c>
      <c r="J14" s="15">
        <f>IF(I14&gt;0, H14/I14, 0)</f>
        <v/>
      </c>
    </row>
    <row r="15" ht="18" customHeight="1">
      <c r="A15" s="5" t="inlineStr">
        <is>
          <t>12月</t>
        </is>
      </c>
      <c r="B15" s="5" t="n">
        <v>31</v>
      </c>
      <c r="C15" s="7">
        <f>H14</f>
        <v/>
      </c>
      <c r="D15" s="7">
        <f>'①入力データ'!D32</f>
        <v/>
      </c>
      <c r="E15" s="5" t="inlineStr">
        <is>
          <t>―</t>
        </is>
      </c>
      <c r="F15" s="5" t="inlineStr">
        <is>
          <t>―</t>
        </is>
      </c>
      <c r="G15" s="7">
        <f>'①入力データ'!D17</f>
        <v/>
      </c>
      <c r="H15" s="21">
        <f>C15+D15-G15</f>
        <v/>
      </c>
      <c r="I15" s="7">
        <f>'①入力データ'!D17/31</f>
        <v/>
      </c>
      <c r="J15" s="15">
        <f>IF(I15&gt;0, H15/I15, 0)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在庫金額・DOS 月次推移サマリ　（全チャネル合計）</t>
        </is>
      </c>
    </row>
    <row r="2" ht="20" customHeight="1">
      <c r="A2" s="22" t="inlineStr">
        <is>
          <t>月</t>
        </is>
      </c>
      <c r="B2" s="22" t="inlineStr">
        <is>
          <t>CH1売上</t>
        </is>
      </c>
      <c r="C2" s="22" t="inlineStr">
        <is>
          <t>CH2売上</t>
        </is>
      </c>
      <c r="D2" s="22" t="inlineStr">
        <is>
          <t>CH3売上</t>
        </is>
      </c>
      <c r="E2" s="22" t="inlineStr">
        <is>
          <t>合計売上</t>
        </is>
      </c>
      <c r="F2" s="22" t="inlineStr">
        <is>
          <t>CH1月末在庫</t>
        </is>
      </c>
      <c r="G2" s="22" t="inlineStr">
        <is>
          <t>CH2月末在庫</t>
        </is>
      </c>
      <c r="H2" s="22" t="inlineStr">
        <is>
          <t>CH3月末在庫</t>
        </is>
      </c>
      <c r="I2" s="22" t="inlineStr">
        <is>
          <t>合計在庫</t>
        </is>
      </c>
      <c r="J2" s="22" t="inlineStr">
        <is>
          <t>CH1 DOS</t>
        </is>
      </c>
      <c r="K2" s="22" t="inlineStr">
        <is>
          <t>CH2 DOS</t>
        </is>
      </c>
      <c r="L2" s="22" t="inlineStr">
        <is>
          <t>CH3 DOS</t>
        </is>
      </c>
      <c r="M2" s="22" t="inlineStr">
        <is>
          <t>合計 DOS</t>
        </is>
      </c>
    </row>
    <row r="3" ht="18" customHeight="1">
      <c r="A3" s="5" t="inlineStr">
        <is>
          <t>1月</t>
        </is>
      </c>
      <c r="B3" s="7">
        <f>'②CH1_店舗'!G4</f>
        <v/>
      </c>
      <c r="C3" s="7">
        <f>'③CH2_ROBO'!G4</f>
        <v/>
      </c>
      <c r="D3" s="7">
        <f>'④CH3_B2B'!G4</f>
        <v/>
      </c>
      <c r="E3" s="23">
        <f>B3+C3+D3</f>
        <v/>
      </c>
      <c r="F3" s="7">
        <f>'②CH1_店舗'!H4</f>
        <v/>
      </c>
      <c r="G3" s="7">
        <f>'③CH2_ROBO'!H4</f>
        <v/>
      </c>
      <c r="H3" s="7">
        <f>'④CH3_B2B'!H4</f>
        <v/>
      </c>
      <c r="I3" s="23">
        <f>F3+G3+H3</f>
        <v/>
      </c>
      <c r="J3" s="24">
        <f>'②CH1_店舗'!J4</f>
        <v/>
      </c>
      <c r="K3" s="24">
        <f>'③CH2_ROBO'!J4</f>
        <v/>
      </c>
      <c r="L3" s="24">
        <f>'④CH3_B2B'!J4</f>
        <v/>
      </c>
      <c r="M3" s="25">
        <f>IF(('①入力データ'!E7/28)&gt;0, I3/('①入力データ'!E7/28), 0)</f>
        <v/>
      </c>
    </row>
    <row r="4" ht="18" customHeight="1">
      <c r="A4" s="5" t="inlineStr">
        <is>
          <t>2月</t>
        </is>
      </c>
      <c r="B4" s="7">
        <f>'②CH1_店舗'!G5</f>
        <v/>
      </c>
      <c r="C4" s="7">
        <f>'③CH2_ROBO'!G5</f>
        <v/>
      </c>
      <c r="D4" s="7">
        <f>'④CH3_B2B'!G5</f>
        <v/>
      </c>
      <c r="E4" s="23">
        <f>B4+C4+D4</f>
        <v/>
      </c>
      <c r="F4" s="7">
        <f>'②CH1_店舗'!H5</f>
        <v/>
      </c>
      <c r="G4" s="7">
        <f>'③CH2_ROBO'!H5</f>
        <v/>
      </c>
      <c r="H4" s="7">
        <f>'④CH3_B2B'!H5</f>
        <v/>
      </c>
      <c r="I4" s="23">
        <f>F4+G4+H4</f>
        <v/>
      </c>
      <c r="J4" s="24">
        <f>'②CH1_店舗'!J5</f>
        <v/>
      </c>
      <c r="K4" s="24">
        <f>'③CH2_ROBO'!J5</f>
        <v/>
      </c>
      <c r="L4" s="24">
        <f>'④CH3_B2B'!J5</f>
        <v/>
      </c>
      <c r="M4" s="25">
        <f>IF(('①入力データ'!E8/31)&gt;0, I4/('①入力データ'!E8/31), 0)</f>
        <v/>
      </c>
    </row>
    <row r="5" ht="18" customHeight="1">
      <c r="A5" s="5" t="inlineStr">
        <is>
          <t>3月</t>
        </is>
      </c>
      <c r="B5" s="7">
        <f>'②CH1_店舗'!G6</f>
        <v/>
      </c>
      <c r="C5" s="7">
        <f>'③CH2_ROBO'!G6</f>
        <v/>
      </c>
      <c r="D5" s="7">
        <f>'④CH3_B2B'!G6</f>
        <v/>
      </c>
      <c r="E5" s="23">
        <f>B5+C5+D5</f>
        <v/>
      </c>
      <c r="F5" s="7">
        <f>'②CH1_店舗'!H6</f>
        <v/>
      </c>
      <c r="G5" s="7">
        <f>'③CH2_ROBO'!H6</f>
        <v/>
      </c>
      <c r="H5" s="7">
        <f>'④CH3_B2B'!H6</f>
        <v/>
      </c>
      <c r="I5" s="23">
        <f>F5+G5+H5</f>
        <v/>
      </c>
      <c r="J5" s="24">
        <f>'②CH1_店舗'!J6</f>
        <v/>
      </c>
      <c r="K5" s="24">
        <f>'③CH2_ROBO'!J6</f>
        <v/>
      </c>
      <c r="L5" s="24">
        <f>'④CH3_B2B'!J6</f>
        <v/>
      </c>
      <c r="M5" s="25">
        <f>IF(('①入力データ'!E9/30)&gt;0, I5/('①入力データ'!E9/30), 0)</f>
        <v/>
      </c>
    </row>
    <row r="6" ht="18" customHeight="1">
      <c r="A6" s="5" t="inlineStr">
        <is>
          <t>4月</t>
        </is>
      </c>
      <c r="B6" s="7">
        <f>'②CH1_店舗'!G7</f>
        <v/>
      </c>
      <c r="C6" s="7">
        <f>'③CH2_ROBO'!G7</f>
        <v/>
      </c>
      <c r="D6" s="7">
        <f>'④CH3_B2B'!G7</f>
        <v/>
      </c>
      <c r="E6" s="23">
        <f>B6+C6+D6</f>
        <v/>
      </c>
      <c r="F6" s="7">
        <f>'②CH1_店舗'!H7</f>
        <v/>
      </c>
      <c r="G6" s="7">
        <f>'③CH2_ROBO'!H7</f>
        <v/>
      </c>
      <c r="H6" s="7">
        <f>'④CH3_B2B'!H7</f>
        <v/>
      </c>
      <c r="I6" s="23">
        <f>F6+G6+H6</f>
        <v/>
      </c>
      <c r="J6" s="24">
        <f>'②CH1_店舗'!J7</f>
        <v/>
      </c>
      <c r="K6" s="24">
        <f>'③CH2_ROBO'!J7</f>
        <v/>
      </c>
      <c r="L6" s="24">
        <f>'④CH3_B2B'!J7</f>
        <v/>
      </c>
      <c r="M6" s="25">
        <f>IF(('①入力データ'!E10/31)&gt;0, I6/('①入力データ'!E10/31), 0)</f>
        <v/>
      </c>
    </row>
    <row r="7" ht="18" customHeight="1">
      <c r="A7" s="5" t="inlineStr">
        <is>
          <t>5月</t>
        </is>
      </c>
      <c r="B7" s="7">
        <f>'②CH1_店舗'!G8</f>
        <v/>
      </c>
      <c r="C7" s="7">
        <f>'③CH2_ROBO'!G8</f>
        <v/>
      </c>
      <c r="D7" s="7">
        <f>'④CH3_B2B'!G8</f>
        <v/>
      </c>
      <c r="E7" s="23">
        <f>B7+C7+D7</f>
        <v/>
      </c>
      <c r="F7" s="7">
        <f>'②CH1_店舗'!H8</f>
        <v/>
      </c>
      <c r="G7" s="7">
        <f>'③CH2_ROBO'!H8</f>
        <v/>
      </c>
      <c r="H7" s="7">
        <f>'④CH3_B2B'!H8</f>
        <v/>
      </c>
      <c r="I7" s="23">
        <f>F7+G7+H7</f>
        <v/>
      </c>
      <c r="J7" s="24">
        <f>'②CH1_店舗'!J8</f>
        <v/>
      </c>
      <c r="K7" s="24">
        <f>'③CH2_ROBO'!J8</f>
        <v/>
      </c>
      <c r="L7" s="24">
        <f>'④CH3_B2B'!J8</f>
        <v/>
      </c>
      <c r="M7" s="25">
        <f>IF(('①入力データ'!E11/30)&gt;0, I7/('①入力データ'!E11/30), 0)</f>
        <v/>
      </c>
    </row>
    <row r="8" ht="18" customHeight="1">
      <c r="A8" s="5" t="inlineStr">
        <is>
          <t>6月</t>
        </is>
      </c>
      <c r="B8" s="7">
        <f>'②CH1_店舗'!G9</f>
        <v/>
      </c>
      <c r="C8" s="7">
        <f>'③CH2_ROBO'!G9</f>
        <v/>
      </c>
      <c r="D8" s="7">
        <f>'④CH3_B2B'!G9</f>
        <v/>
      </c>
      <c r="E8" s="23">
        <f>B8+C8+D8</f>
        <v/>
      </c>
      <c r="F8" s="7">
        <f>'②CH1_店舗'!H9</f>
        <v/>
      </c>
      <c r="G8" s="7">
        <f>'③CH2_ROBO'!H9</f>
        <v/>
      </c>
      <c r="H8" s="7">
        <f>'④CH3_B2B'!H9</f>
        <v/>
      </c>
      <c r="I8" s="23">
        <f>F8+G8+H8</f>
        <v/>
      </c>
      <c r="J8" s="24">
        <f>'②CH1_店舗'!J9</f>
        <v/>
      </c>
      <c r="K8" s="24">
        <f>'③CH2_ROBO'!J9</f>
        <v/>
      </c>
      <c r="L8" s="24">
        <f>'④CH3_B2B'!J9</f>
        <v/>
      </c>
      <c r="M8" s="25">
        <f>IF(('①入力データ'!E12/31)&gt;0, I8/('①入力データ'!E12/31), 0)</f>
        <v/>
      </c>
    </row>
    <row r="9" ht="18" customHeight="1">
      <c r="A9" s="5" t="inlineStr">
        <is>
          <t>7月</t>
        </is>
      </c>
      <c r="B9" s="7">
        <f>'②CH1_店舗'!G10</f>
        <v/>
      </c>
      <c r="C9" s="7">
        <f>'③CH2_ROBO'!G10</f>
        <v/>
      </c>
      <c r="D9" s="7">
        <f>'④CH3_B2B'!G10</f>
        <v/>
      </c>
      <c r="E9" s="23">
        <f>B9+C9+D9</f>
        <v/>
      </c>
      <c r="F9" s="7">
        <f>'②CH1_店舗'!H10</f>
        <v/>
      </c>
      <c r="G9" s="7">
        <f>'③CH2_ROBO'!H10</f>
        <v/>
      </c>
      <c r="H9" s="7">
        <f>'④CH3_B2B'!H10</f>
        <v/>
      </c>
      <c r="I9" s="23">
        <f>F9+G9+H9</f>
        <v/>
      </c>
      <c r="J9" s="24">
        <f>'②CH1_店舗'!J10</f>
        <v/>
      </c>
      <c r="K9" s="24">
        <f>'③CH2_ROBO'!J10</f>
        <v/>
      </c>
      <c r="L9" s="24">
        <f>'④CH3_B2B'!J10</f>
        <v/>
      </c>
      <c r="M9" s="25">
        <f>IF(('①入力データ'!E13/31)&gt;0, I9/('①入力データ'!E13/31), 0)</f>
        <v/>
      </c>
    </row>
    <row r="10" ht="18" customHeight="1">
      <c r="A10" s="5" t="inlineStr">
        <is>
          <t>8月</t>
        </is>
      </c>
      <c r="B10" s="7">
        <f>'②CH1_店舗'!G11</f>
        <v/>
      </c>
      <c r="C10" s="7">
        <f>'③CH2_ROBO'!G11</f>
        <v/>
      </c>
      <c r="D10" s="7">
        <f>'④CH3_B2B'!G11</f>
        <v/>
      </c>
      <c r="E10" s="23">
        <f>B10+C10+D10</f>
        <v/>
      </c>
      <c r="F10" s="7">
        <f>'②CH1_店舗'!H11</f>
        <v/>
      </c>
      <c r="G10" s="7">
        <f>'③CH2_ROBO'!H11</f>
        <v/>
      </c>
      <c r="H10" s="7">
        <f>'④CH3_B2B'!H11</f>
        <v/>
      </c>
      <c r="I10" s="23">
        <f>F10+G10+H10</f>
        <v/>
      </c>
      <c r="J10" s="24">
        <f>'②CH1_店舗'!J11</f>
        <v/>
      </c>
      <c r="K10" s="24">
        <f>'③CH2_ROBO'!J11</f>
        <v/>
      </c>
      <c r="L10" s="24">
        <f>'④CH3_B2B'!J11</f>
        <v/>
      </c>
      <c r="M10" s="25">
        <f>IF(('①入力データ'!E14/30)&gt;0, I10/('①入力データ'!E14/30), 0)</f>
        <v/>
      </c>
    </row>
    <row r="11" ht="18" customHeight="1">
      <c r="A11" s="5" t="inlineStr">
        <is>
          <t>9月</t>
        </is>
      </c>
      <c r="B11" s="7">
        <f>'②CH1_店舗'!G12</f>
        <v/>
      </c>
      <c r="C11" s="7">
        <f>'③CH2_ROBO'!G12</f>
        <v/>
      </c>
      <c r="D11" s="7">
        <f>'④CH3_B2B'!G12</f>
        <v/>
      </c>
      <c r="E11" s="23">
        <f>B11+C11+D11</f>
        <v/>
      </c>
      <c r="F11" s="7">
        <f>'②CH1_店舗'!H12</f>
        <v/>
      </c>
      <c r="G11" s="7">
        <f>'③CH2_ROBO'!H12</f>
        <v/>
      </c>
      <c r="H11" s="7">
        <f>'④CH3_B2B'!H12</f>
        <v/>
      </c>
      <c r="I11" s="23">
        <f>F11+G11+H11</f>
        <v/>
      </c>
      <c r="J11" s="24">
        <f>'②CH1_店舗'!J12</f>
        <v/>
      </c>
      <c r="K11" s="24">
        <f>'③CH2_ROBO'!J12</f>
        <v/>
      </c>
      <c r="L11" s="24">
        <f>'④CH3_B2B'!J12</f>
        <v/>
      </c>
      <c r="M11" s="25">
        <f>IF(('①入力データ'!E15/31)&gt;0, I11/('①入力データ'!E15/31), 0)</f>
        <v/>
      </c>
    </row>
    <row r="12" ht="18" customHeight="1">
      <c r="A12" s="5" t="inlineStr">
        <is>
          <t>10月</t>
        </is>
      </c>
      <c r="B12" s="7">
        <f>'②CH1_店舗'!G13</f>
        <v/>
      </c>
      <c r="C12" s="7">
        <f>'③CH2_ROBO'!G13</f>
        <v/>
      </c>
      <c r="D12" s="7">
        <f>'④CH3_B2B'!G13</f>
        <v/>
      </c>
      <c r="E12" s="23">
        <f>B12+C12+D12</f>
        <v/>
      </c>
      <c r="F12" s="7">
        <f>'②CH1_店舗'!H13</f>
        <v/>
      </c>
      <c r="G12" s="7">
        <f>'③CH2_ROBO'!H13</f>
        <v/>
      </c>
      <c r="H12" s="7">
        <f>'④CH3_B2B'!H13</f>
        <v/>
      </c>
      <c r="I12" s="23">
        <f>F12+G12+H12</f>
        <v/>
      </c>
      <c r="J12" s="24">
        <f>'②CH1_店舗'!J13</f>
        <v/>
      </c>
      <c r="K12" s="24">
        <f>'③CH2_ROBO'!J13</f>
        <v/>
      </c>
      <c r="L12" s="24">
        <f>'④CH3_B2B'!J13</f>
        <v/>
      </c>
      <c r="M12" s="25">
        <f>IF(('①入力データ'!E16/30)&gt;0, I12/('①入力データ'!E16/30), 0)</f>
        <v/>
      </c>
    </row>
    <row r="13" ht="18" customHeight="1">
      <c r="A13" s="5" t="inlineStr">
        <is>
          <t>11月</t>
        </is>
      </c>
      <c r="B13" s="7">
        <f>'②CH1_店舗'!G14</f>
        <v/>
      </c>
      <c r="C13" s="7">
        <f>'③CH2_ROBO'!G14</f>
        <v/>
      </c>
      <c r="D13" s="7">
        <f>'④CH3_B2B'!G14</f>
        <v/>
      </c>
      <c r="E13" s="23">
        <f>B13+C13+D13</f>
        <v/>
      </c>
      <c r="F13" s="7">
        <f>'②CH1_店舗'!H14</f>
        <v/>
      </c>
      <c r="G13" s="7">
        <f>'③CH2_ROBO'!H14</f>
        <v/>
      </c>
      <c r="H13" s="7">
        <f>'④CH3_B2B'!H14</f>
        <v/>
      </c>
      <c r="I13" s="23">
        <f>F13+G13+H13</f>
        <v/>
      </c>
      <c r="J13" s="24">
        <f>'②CH1_店舗'!J14</f>
        <v/>
      </c>
      <c r="K13" s="24">
        <f>'③CH2_ROBO'!J14</f>
        <v/>
      </c>
      <c r="L13" s="24">
        <f>'④CH3_B2B'!J14</f>
        <v/>
      </c>
      <c r="M13" s="25">
        <f>IF(('①入力データ'!E17/31)&gt;0, I13/('①入力データ'!E17/31), 0)</f>
        <v/>
      </c>
    </row>
    <row r="14" ht="18" customHeight="1">
      <c r="A14" s="5" t="inlineStr">
        <is>
          <t>12月</t>
        </is>
      </c>
      <c r="B14" s="7">
        <f>'②CH1_店舗'!G15</f>
        <v/>
      </c>
      <c r="C14" s="7">
        <f>'③CH2_ROBO'!G15</f>
        <v/>
      </c>
      <c r="D14" s="7">
        <f>'④CH3_B2B'!G15</f>
        <v/>
      </c>
      <c r="E14" s="23">
        <f>B14+C14+D14</f>
        <v/>
      </c>
      <c r="F14" s="7">
        <f>'②CH1_店舗'!H15</f>
        <v/>
      </c>
      <c r="G14" s="7">
        <f>'③CH2_ROBO'!H15</f>
        <v/>
      </c>
      <c r="H14" s="7">
        <f>'④CH3_B2B'!H15</f>
        <v/>
      </c>
      <c r="I14" s="23">
        <f>F14+G14+H14</f>
        <v/>
      </c>
      <c r="J14" s="24">
        <f>'②CH1_店舗'!J15</f>
        <v/>
      </c>
      <c r="K14" s="24">
        <f>'③CH2_ROBO'!J15</f>
        <v/>
      </c>
      <c r="L14" s="24">
        <f>'④CH3_B2B'!J15</f>
        <v/>
      </c>
      <c r="M14" s="25">
        <f>IF(('①入力データ'!E17/31)&gt;0, I14/('①入力データ'!E17/31), 0)</f>
        <v/>
      </c>
    </row>
    <row r="15">
      <c r="A15" s="26" t="inlineStr">
        <is>
          <t>年間合計</t>
        </is>
      </c>
      <c r="B15" s="23">
        <f>SUM(B3:B14)</f>
        <v/>
      </c>
      <c r="C15" s="23">
        <f>SUM(C3:C14)</f>
        <v/>
      </c>
      <c r="D15" s="23">
        <f>SUM(D3:D14)</f>
        <v/>
      </c>
      <c r="E15" s="23">
        <f>SUM(E3:E14)</f>
        <v/>
      </c>
      <c r="F15" s="5" t="inlineStr">
        <is>
          <t>―</t>
        </is>
      </c>
      <c r="G15" s="5" t="inlineStr">
        <is>
          <t>―</t>
        </is>
      </c>
      <c r="H15" s="5" t="inlineStr">
        <is>
          <t>―</t>
        </is>
      </c>
      <c r="I15" s="5" t="inlineStr">
        <is>
          <t>―</t>
        </is>
      </c>
      <c r="J15" s="5" t="inlineStr">
        <is>
          <t>―</t>
        </is>
      </c>
      <c r="K15" s="5" t="inlineStr">
        <is>
          <t>―</t>
        </is>
      </c>
      <c r="L15" s="5" t="inlineStr">
        <is>
          <t>―</t>
        </is>
      </c>
      <c r="M15" s="5" t="inlineStr">
        <is>
          <t>―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2026-03-26T05:39:42Z</dcterms:created>
  <dcterms:modified xsi:type="dcterms:W3CDTF">2026-03-26T05:39:42Z</dcterms:modified>
</cp:coreProperties>
</file>